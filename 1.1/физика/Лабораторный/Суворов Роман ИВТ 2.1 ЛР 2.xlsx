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66925"/>
  <xr:revisionPtr revIDLastSave="0" documentId="8_{FDFACB96-3257-4566-8B09-99EED0CE14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25" i="1" s="1"/>
  <c r="C18" i="1"/>
  <c r="C25" i="1" s="1"/>
  <c r="B9" i="1"/>
  <c r="C21" i="1" l="1"/>
  <c r="B21" i="1"/>
</calcChain>
</file>

<file path=xl/sharedStrings.xml><?xml version="1.0" encoding="utf-8"?>
<sst xmlns="http://schemas.openxmlformats.org/spreadsheetml/2006/main" count="16" uniqueCount="14">
  <si>
    <t>масса груза (г)</t>
  </si>
  <si>
    <t>l (м)</t>
  </si>
  <si>
    <t>k = p / x(del)</t>
  </si>
  <si>
    <t>k (N/m)</t>
  </si>
  <si>
    <t>k =</t>
  </si>
  <si>
    <t>0,05 кг</t>
  </si>
  <si>
    <t>0,1 кг</t>
  </si>
  <si>
    <t>колебаний(с)</t>
  </si>
  <si>
    <t>50 колебаний</t>
  </si>
  <si>
    <t>ср</t>
  </si>
  <si>
    <t>формула w = (k / m) ^ 0,5</t>
  </si>
  <si>
    <t xml:space="preserve">w = </t>
  </si>
  <si>
    <t>Значения приблизительно равны</t>
  </si>
  <si>
    <t>формула w = 2pi /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</si>
</sst>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0" borderId="0" xfId="0" quotePrefix="1" applyFon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Изменение </a:t>
            </a:r>
            <a:r>
              <a:rPr lang="en-US"/>
              <a:t>l </a:t>
            </a:r>
            <a:r>
              <a:rPr lang="az-Cyrl-AZ"/>
              <a:t>под массой груза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6.5000000000000002E-2</c:v>
                </c:pt>
                <c:pt idx="1">
                  <c:v>0.08</c:v>
                </c:pt>
                <c:pt idx="2">
                  <c:v>9.4E-2</c:v>
                </c:pt>
                <c:pt idx="3">
                  <c:v>0.108</c:v>
                </c:pt>
                <c:pt idx="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C-452E-B825-286474BC8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37768"/>
        <c:axId val="361136840"/>
      </c:scatterChart>
      <c:valAx>
        <c:axId val="90413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36840"/>
        <c:crosses val="autoZero"/>
        <c:crossBetween val="midCat"/>
      </c:valAx>
      <c:valAx>
        <c:axId val="36113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3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0</xdr:rowOff>
    </xdr:from>
    <xdr:to>
      <xdr:col>6</xdr:col>
      <xdr:colOff>504825</xdr:colOff>
      <xdr:row>6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18CEE5-BBF1-0020-FBB9-917E9DC0C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11" sqref="G11"/>
    </sheetView>
  </sheetViews>
  <sheetFormatPr defaultRowHeight="15"/>
  <cols>
    <col min="1" max="1" width="14.85546875" customWidth="1"/>
    <col min="2" max="2" width="12.7109375" customWidth="1"/>
    <col min="3" max="3" width="12.42578125" customWidth="1"/>
  </cols>
  <sheetData>
    <row r="1" spans="1:3">
      <c r="A1" s="1" t="s">
        <v>0</v>
      </c>
      <c r="B1" s="1" t="s">
        <v>1</v>
      </c>
    </row>
    <row r="2" spans="1:3">
      <c r="A2">
        <v>0</v>
      </c>
      <c r="B2">
        <v>6.5000000000000002E-2</v>
      </c>
    </row>
    <row r="3" spans="1:3">
      <c r="A3">
        <v>50</v>
      </c>
      <c r="B3">
        <v>0.08</v>
      </c>
    </row>
    <row r="4" spans="1:3">
      <c r="A4">
        <v>100</v>
      </c>
      <c r="B4">
        <v>9.4E-2</v>
      </c>
    </row>
    <row r="5" spans="1:3">
      <c r="A5">
        <v>150</v>
      </c>
      <c r="B5">
        <v>0.108</v>
      </c>
    </row>
    <row r="6" spans="1:3">
      <c r="A6">
        <v>200</v>
      </c>
      <c r="B6">
        <v>0.125</v>
      </c>
    </row>
    <row r="8" spans="1:3">
      <c r="A8" s="1" t="s">
        <v>2</v>
      </c>
      <c r="B8" s="3" t="s">
        <v>3</v>
      </c>
    </row>
    <row r="9" spans="1:3">
      <c r="A9" s="2" t="s">
        <v>4</v>
      </c>
      <c r="B9">
        <f>(A6 / 100) / (B6 - B2)</f>
        <v>33.333333333333336</v>
      </c>
    </row>
    <row r="11" spans="1:3">
      <c r="B11" s="5" t="s">
        <v>5</v>
      </c>
      <c r="C11" s="5" t="s">
        <v>6</v>
      </c>
    </row>
    <row r="12" spans="1:3">
      <c r="B12" s="3" t="s">
        <v>7</v>
      </c>
      <c r="C12" s="3" t="s">
        <v>7</v>
      </c>
    </row>
    <row r="13" spans="1:3">
      <c r="A13" s="4" t="s">
        <v>8</v>
      </c>
      <c r="B13">
        <v>15</v>
      </c>
      <c r="C13">
        <v>20</v>
      </c>
    </row>
    <row r="14" spans="1:3">
      <c r="A14" s="4"/>
      <c r="B14">
        <v>16</v>
      </c>
      <c r="C14">
        <v>23</v>
      </c>
    </row>
    <row r="15" spans="1:3">
      <c r="A15" s="4"/>
      <c r="B15">
        <v>16</v>
      </c>
      <c r="C15">
        <v>21</v>
      </c>
    </row>
    <row r="16" spans="1:3">
      <c r="A16" s="4"/>
      <c r="B16">
        <v>15</v>
      </c>
      <c r="C16">
        <v>21</v>
      </c>
    </row>
    <row r="17" spans="1:8">
      <c r="A17" s="4"/>
      <c r="B17">
        <v>18</v>
      </c>
      <c r="C17">
        <v>22</v>
      </c>
    </row>
    <row r="18" spans="1:8">
      <c r="A18" s="2" t="s">
        <v>9</v>
      </c>
      <c r="B18">
        <f>AVERAGE(B13:B17)</f>
        <v>16</v>
      </c>
      <c r="C18">
        <f>AVERAGE(C13:C17)</f>
        <v>21.4</v>
      </c>
    </row>
    <row r="20" spans="1:8">
      <c r="A20" s="6" t="s">
        <v>10</v>
      </c>
      <c r="B20" s="6"/>
    </row>
    <row r="21" spans="1:8">
      <c r="A21" s="2" t="s">
        <v>11</v>
      </c>
      <c r="B21">
        <f>(B9/0.05)^0.5</f>
        <v>25.819888974716111</v>
      </c>
      <c r="C21" s="7">
        <f>(B9/0.1)^0.5</f>
        <v>18.257418583505537</v>
      </c>
      <c r="E21" s="9" t="s">
        <v>12</v>
      </c>
      <c r="F21" s="9"/>
      <c r="G21" s="9"/>
      <c r="H21" s="9"/>
    </row>
    <row r="22" spans="1:8">
      <c r="E22" s="9"/>
      <c r="F22" s="9"/>
      <c r="G22" s="9"/>
      <c r="H22" s="9"/>
    </row>
    <row r="23" spans="1:8">
      <c r="E23" s="9"/>
      <c r="F23" s="9"/>
      <c r="G23" s="9"/>
      <c r="H23" s="9"/>
    </row>
    <row r="24" spans="1:8">
      <c r="A24" s="6" t="s">
        <v>13</v>
      </c>
      <c r="B24" s="6"/>
      <c r="E24" s="9"/>
      <c r="F24" s="9"/>
      <c r="G24" s="9"/>
      <c r="H24" s="9"/>
    </row>
    <row r="25" spans="1:8">
      <c r="A25" s="2" t="s">
        <v>11</v>
      </c>
      <c r="B25">
        <f>(2 * 3.14 * 50) / B18</f>
        <v>19.625</v>
      </c>
      <c r="C25">
        <f>(2 * 3.14 * 50) / C18</f>
        <v>14.672897196261683</v>
      </c>
      <c r="E25" s="8"/>
      <c r="F25" s="8"/>
      <c r="G25" s="8"/>
    </row>
    <row r="28" spans="1:8" ht="39" customHeight="1"/>
  </sheetData>
  <mergeCells count="4">
    <mergeCell ref="E21:H24"/>
    <mergeCell ref="A13:A17"/>
    <mergeCell ref="A24:B24"/>
    <mergeCell ref="A20:B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2022-10-27T15:32:59Z</dcterms:created>
  <dcterms:modified xsi:type="dcterms:W3CDTF">2022-10-27T16:02:25Z</dcterms:modified>
  <cp:category/>
  <cp:contentStatus/>
</cp:coreProperties>
</file>
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55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<sst xmlns="http://schemas.openxmlformats.org/spreadsheetml/2006/main" count="16" uniqueCount="16">
  <si>
    <t>масса шарика г</t>
  </si>
  <si>
    <t>Диаметр</t>
  </si>
  <si>
    <t>радиус</t>
  </si>
  <si>
    <t>Объём, м^3</t>
  </si>
  <si>
    <t>l, м</t>
  </si>
  <si>
    <t>V=4/3*pi*R^3</t>
  </si>
  <si>
    <t>t, с</t>
  </si>
  <si>
    <t>v шарика, м/с</t>
  </si>
  <si>
    <t>p2, кг/м^3</t>
  </si>
  <si>
    <t>ср кг</t>
  </si>
  <si>
    <t>ср м</t>
  </si>
  <si>
    <t>p1, кг/м^3</t>
  </si>
  <si>
    <r>
      <t>n</t>
    </r>
    <r>
      <rPr>
        <sz val="6"/>
        <color theme="1"/>
        <rFont val="Calibri"/>
        <charset val="134"/>
        <scheme val="minor"/>
      </rPr>
      <t>т</t>
    </r>
  </si>
  <si>
    <t>разница не превышает 25%</t>
  </si>
  <si>
    <r>
      <t>n</t>
    </r>
    <r>
      <rPr>
        <sz val="6"/>
        <color theme="1"/>
        <rFont val="Calibri"/>
        <charset val="134"/>
        <scheme val="minor"/>
      </rPr>
      <t>п</t>
    </r>
  </si>
  <si>
    <t>Скоррее всего в виде жидкости был взят глицерин</t>
  </si>
</sst>
</file>

<file path=xl/styles.xml><?xml version="1.0" encoding="utf-8"?>
<styleSheet xmlns="http://schemas.openxmlformats.org/spreadsheetml/2006/main">
  <numFmts count="4">
    <numFmt numFmtId="176" formatCode="_-* #\.##0_-;\-* #\.##0_-;_-* &quot;-&quot;_-;_-@_-"/>
    <numFmt numFmtId="177" formatCode="_-* #\.##0\ &quot;₽&quot;_-;\-* #\.##0\ &quot;₽&quot;_-;_-* \-\ &quot;₽&quot;_-;_-@_-"/>
    <numFmt numFmtId="178" formatCode="_-* #\.##0.00\ &quot;₽&quot;_-;\-* #\.##0.00\ &quot;₽&quot;_-;_-* \-??\ &quot;₽&quot;_-;_-@_-"/>
    <numFmt numFmtId="179" formatCode="_-* #\.##0.00_-;\-* #\.##0.00_-;_-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6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25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32" borderId="4" applyNumberFormat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13" fillId="25" borderId="4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0" fillId="0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1" fillId="4" borderId="0" xfId="0" applyFont="1" applyFill="1" applyAlignment="1"/>
    <xf numFmtId="0" fontId="0" fillId="2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/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workbookViewId="0">
      <selection activeCell="I15" sqref="I15"/>
    </sheetView>
  </sheetViews>
  <sheetFormatPr defaultColWidth="8.72727272727273" defaultRowHeight="14.5"/>
  <cols>
    <col min="2" max="2" width="12.8181818181818"/>
    <col min="12" max="12" width="12.8181818181818"/>
    <col min="15" max="15" width="12.8181818181818"/>
  </cols>
  <sheetData>
    <row r="1" spans="2:15">
      <c r="B1" s="1" t="s">
        <v>0</v>
      </c>
      <c r="C1" s="1"/>
      <c r="G1" s="2" t="s">
        <v>1</v>
      </c>
      <c r="H1" s="2" t="s">
        <v>2</v>
      </c>
      <c r="J1" s="12" t="s">
        <v>3</v>
      </c>
      <c r="K1" s="12"/>
      <c r="N1" s="13" t="s">
        <v>4</v>
      </c>
      <c r="O1" s="9">
        <v>0.5</v>
      </c>
    </row>
    <row r="2" spans="1:15">
      <c r="A2" s="3">
        <v>1</v>
      </c>
      <c r="B2" s="4">
        <v>0.17</v>
      </c>
      <c r="C2" s="4"/>
      <c r="F2" s="3">
        <v>1</v>
      </c>
      <c r="G2" s="5">
        <v>0.3</v>
      </c>
      <c r="H2" s="6">
        <f>G2/2</f>
        <v>0.15</v>
      </c>
      <c r="J2" s="14" t="s">
        <v>5</v>
      </c>
      <c r="K2" s="14"/>
      <c r="L2" s="8">
        <f>4/3*3.14*H7^3</f>
        <v>1.35723025066667e-8</v>
      </c>
      <c r="N2" s="13" t="s">
        <v>6</v>
      </c>
      <c r="O2" s="9">
        <v>6.55</v>
      </c>
    </row>
    <row r="3" spans="1:15">
      <c r="A3" s="3">
        <v>2</v>
      </c>
      <c r="B3" s="4">
        <v>0.18</v>
      </c>
      <c r="C3" s="4"/>
      <c r="F3" s="3">
        <v>2</v>
      </c>
      <c r="G3" s="5">
        <v>0.31</v>
      </c>
      <c r="H3" s="6">
        <f>G3/2</f>
        <v>0.155</v>
      </c>
      <c r="N3" s="13" t="s">
        <v>7</v>
      </c>
      <c r="O3" s="9">
        <f>O1/O2</f>
        <v>0.0763358778625954</v>
      </c>
    </row>
    <row r="4" spans="1:12">
      <c r="A4" s="3">
        <v>3</v>
      </c>
      <c r="B4" s="4">
        <v>0.17</v>
      </c>
      <c r="C4" s="4"/>
      <c r="F4" s="3">
        <v>3</v>
      </c>
      <c r="G4" s="5">
        <v>0.29</v>
      </c>
      <c r="H4" s="6">
        <f>G4/2</f>
        <v>0.145</v>
      </c>
      <c r="J4" s="15" t="s">
        <v>8</v>
      </c>
      <c r="K4" s="15"/>
      <c r="L4" s="8">
        <f>B7/L2</f>
        <v>12525.5092064516</v>
      </c>
    </row>
    <row r="5" spans="1:8">
      <c r="A5" s="3">
        <v>4</v>
      </c>
      <c r="B5" s="4">
        <v>0.16</v>
      </c>
      <c r="C5" s="4"/>
      <c r="F5" s="3">
        <v>4</v>
      </c>
      <c r="G5" s="5">
        <v>0.28</v>
      </c>
      <c r="H5" s="6">
        <f>G5/2</f>
        <v>0.14</v>
      </c>
    </row>
    <row r="6" spans="1:8">
      <c r="A6" s="3">
        <v>5</v>
      </c>
      <c r="B6" s="4">
        <v>0.17</v>
      </c>
      <c r="C6" s="4"/>
      <c r="F6" s="3">
        <v>5</v>
      </c>
      <c r="G6" s="5">
        <v>0.3</v>
      </c>
      <c r="H6" s="6">
        <f>G6/2</f>
        <v>0.15</v>
      </c>
    </row>
    <row r="7" spans="1:8">
      <c r="A7" s="7" t="s">
        <v>9</v>
      </c>
      <c r="B7" s="7">
        <f>AVERAGE(B2:C6)/1000</f>
        <v>0.00017</v>
      </c>
      <c r="C7" s="7"/>
      <c r="F7" s="8" t="s">
        <v>10</v>
      </c>
      <c r="G7" s="8">
        <f>AVERAGE(G2:G6)/100</f>
        <v>0.00296</v>
      </c>
      <c r="H7" s="8">
        <f>AVERAGE(H2:H6)/100</f>
        <v>0.00148</v>
      </c>
    </row>
    <row r="10" spans="1:3">
      <c r="A10" s="1" t="s">
        <v>11</v>
      </c>
      <c r="B10" s="1"/>
      <c r="C10" s="9">
        <v>1272</v>
      </c>
    </row>
    <row r="14" spans="1:7">
      <c r="A14" s="10" t="s">
        <v>12</v>
      </c>
      <c r="B14" s="8">
        <f>2/9*(12592-1272)*(10*0.148^2/O3)</f>
        <v>7218.19548444444</v>
      </c>
      <c r="C14" s="11" t="s">
        <v>13</v>
      </c>
      <c r="D14" s="11"/>
      <c r="E14" s="11"/>
      <c r="F14" s="11"/>
      <c r="G14" s="11"/>
    </row>
    <row r="15" spans="1:7">
      <c r="A15" s="10" t="s">
        <v>14</v>
      </c>
      <c r="B15" s="8">
        <f>2/9*(10*0.148^2)/0.076*(12592-1272)/((1+2.4*0.00148/0.06)*(1+1.33*0.00148/0.5))</f>
        <v>6818.03781447287</v>
      </c>
      <c r="C15" s="11"/>
      <c r="D15" s="11"/>
      <c r="E15" s="11"/>
      <c r="F15" s="11"/>
      <c r="G15" s="11"/>
    </row>
    <row r="16" spans="3:7">
      <c r="C16" s="11" t="s">
        <v>15</v>
      </c>
      <c r="D16" s="11"/>
      <c r="E16" s="11"/>
      <c r="F16" s="11"/>
      <c r="G16" s="11"/>
    </row>
    <row r="17" spans="3:7">
      <c r="C17" s="11"/>
      <c r="D17" s="11"/>
      <c r="E17" s="11"/>
      <c r="F17" s="11"/>
      <c r="G17" s="11"/>
    </row>
  </sheetData>
  <mergeCells count="13">
    <mergeCell ref="B1:C1"/>
    <mergeCell ref="J1:K1"/>
    <mergeCell ref="B2:C2"/>
    <mergeCell ref="J2:K2"/>
    <mergeCell ref="B3:C3"/>
    <mergeCell ref="B4:C4"/>
    <mergeCell ref="J4:K4"/>
    <mergeCell ref="B5:C5"/>
    <mergeCell ref="B6:C6"/>
    <mergeCell ref="B7:C7"/>
    <mergeCell ref="A10:B10"/>
    <mergeCell ref="C14:G15"/>
    <mergeCell ref="C16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писька пиписька</dc:creator>
  <cp:lastModifiedBy>писька пиписька</cp:lastModifiedBy>
  <dcterms:created xsi:type="dcterms:W3CDTF">2022-12-16T13:34:52Z</dcterms:created>
  <dcterms:modified xsi:type="dcterms:W3CDTF">2022-12-16T13:55:48Z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DF90BDA111E24440BAACDC7E3BBD8989</vt:lpwstr>
  </property>
  <property fmtid="{D5CDD505-2E9C-101B-9397-08002B2CF9AE}" pid="3" name="KSOProductBuildVer">
    <vt:lpwstr>1049-11.2.0.11388</vt:lpwstr>
  </property>
</Properties>
</file>
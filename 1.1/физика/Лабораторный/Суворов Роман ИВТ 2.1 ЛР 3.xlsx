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30" windowHeight="10550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<sst xmlns="http://schemas.openxmlformats.org/spreadsheetml/2006/main" count="30" uniqueCount="27">
  <si>
    <t>r(м)</t>
  </si>
  <si>
    <t>R(м)</t>
  </si>
  <si>
    <t>l(м)</t>
  </si>
  <si>
    <t>m0(кг)</t>
  </si>
  <si>
    <t>t0(с)</t>
  </si>
  <si>
    <t>T0(с)</t>
  </si>
  <si>
    <t>m(кг)</t>
  </si>
  <si>
    <t>t(с)</t>
  </si>
  <si>
    <t>T(с)</t>
  </si>
  <si>
    <t>ср</t>
  </si>
  <si>
    <t>для пустой платформы</t>
  </si>
  <si>
    <t>j = 0,5*m*(R^2)</t>
  </si>
  <si>
    <t>j=</t>
  </si>
  <si>
    <t>значения приблизительно равны</t>
  </si>
  <si>
    <t>Для пустой платформы</t>
  </si>
  <si>
    <t>j = (mgRr) / (4*pi*l) * T^2</t>
  </si>
  <si>
    <t xml:space="preserve">j = </t>
  </si>
  <si>
    <t>Проверка теоремы штейнера:</t>
  </si>
  <si>
    <t>теоритически</t>
  </si>
  <si>
    <t>R=</t>
  </si>
  <si>
    <t>0,04 м</t>
  </si>
  <si>
    <t>j=j0 + md^2</t>
  </si>
  <si>
    <t>m=</t>
  </si>
  <si>
    <t>0,4 кг</t>
  </si>
  <si>
    <t>эксперементальное</t>
  </si>
  <si>
    <t>Теорема Подтверждена</t>
  </si>
  <si>
    <t xml:space="preserve">j = j0+0,5*m*(R^2)		</t>
  </si>
</sst>
</file>

<file path=xl/styles.xml><?xml version="1.0" encoding="utf-8"?>
<styleSheet xmlns="http://schemas.openxmlformats.org/spreadsheetml/2006/main">
  <numFmts count="4">
    <numFmt numFmtId="176" formatCode="_-* #\.##0\ &quot;₽&quot;_-;\-* #\.##0\ &quot;₽&quot;_-;_-* \-\ &quot;₽&quot;_-;_-@_-"/>
    <numFmt numFmtId="177" formatCode="_-* #\.##0.00_-;\-* #\.##0.00_-;_-* &quot;-&quot;??_-;_-@_-"/>
    <numFmt numFmtId="178" formatCode="_-* #\.##0_-;\-* #\.##0_-;_-* &quot;-&quot;_-;_-@_-"/>
    <numFmt numFmtId="179" formatCode="_-* #\.##0.00\ &quot;₽&quot;_-;\-* #\.##0.00\ &quot;₽&quot;_-;_-* \-??\ &quot;₽&quot;_-;_-@_-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" fillId="13" borderId="0" applyNumberFormat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21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5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29" borderId="7" applyNumberFormat="0" applyAlignment="0" applyProtection="0">
      <alignment vertical="center"/>
    </xf>
    <xf numFmtId="0" fontId="16" fillId="27" borderId="6" applyNumberFormat="0" applyAlignment="0" applyProtection="0">
      <alignment vertical="center"/>
    </xf>
    <xf numFmtId="0" fontId="19" fillId="2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</cellXfs>
  <cellStyles count="49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7"/>
  <sheetViews>
    <sheetView tabSelected="1" workbookViewId="0">
      <selection activeCell="F17" sqref="F17"/>
    </sheetView>
  </sheetViews>
  <sheetFormatPr defaultColWidth="9" defaultRowHeight="14.5"/>
  <sheetData>
    <row r="2" spans="1:10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>
      <c r="A3" s="2">
        <v>1</v>
      </c>
      <c r="B3" s="3">
        <v>0.038</v>
      </c>
      <c r="C3" s="3">
        <v>0.115</v>
      </c>
      <c r="D3" s="3">
        <v>0.45</v>
      </c>
      <c r="E3" s="3">
        <v>0.19</v>
      </c>
      <c r="F3">
        <v>37.74</v>
      </c>
      <c r="G3">
        <f>F3/20</f>
        <v>1.887</v>
      </c>
      <c r="H3" s="3">
        <v>0.39</v>
      </c>
      <c r="I3">
        <v>27</v>
      </c>
      <c r="J3">
        <v>1.35</v>
      </c>
    </row>
    <row r="4" spans="1:10">
      <c r="A4" s="2">
        <v>2</v>
      </c>
      <c r="B4" s="3"/>
      <c r="C4" s="3"/>
      <c r="D4" s="3"/>
      <c r="E4" s="3"/>
      <c r="F4">
        <v>37.62</v>
      </c>
      <c r="G4">
        <f t="shared" ref="G4:G7" si="0">F4/20</f>
        <v>1.881</v>
      </c>
      <c r="H4" s="3"/>
      <c r="I4">
        <v>28</v>
      </c>
      <c r="J4">
        <v>1.4</v>
      </c>
    </row>
    <row r="5" spans="1:10">
      <c r="A5" s="2">
        <v>3</v>
      </c>
      <c r="B5" s="3"/>
      <c r="C5" s="3"/>
      <c r="D5" s="3"/>
      <c r="E5" s="3"/>
      <c r="F5">
        <v>37.4</v>
      </c>
      <c r="G5">
        <f t="shared" si="0"/>
        <v>1.87</v>
      </c>
      <c r="H5" s="3"/>
      <c r="I5">
        <v>28</v>
      </c>
      <c r="J5">
        <v>1.4</v>
      </c>
    </row>
    <row r="6" spans="1:10">
      <c r="A6" s="2">
        <v>4</v>
      </c>
      <c r="B6" s="3"/>
      <c r="C6" s="3"/>
      <c r="D6" s="3"/>
      <c r="E6" s="3"/>
      <c r="F6">
        <v>38.2</v>
      </c>
      <c r="G6">
        <f t="shared" si="0"/>
        <v>1.91</v>
      </c>
      <c r="H6" s="3"/>
      <c r="I6">
        <v>27.5</v>
      </c>
      <c r="J6">
        <v>1.375</v>
      </c>
    </row>
    <row r="7" spans="1:10">
      <c r="A7" s="2">
        <v>5</v>
      </c>
      <c r="B7" s="3"/>
      <c r="C7" s="3"/>
      <c r="D7" s="3"/>
      <c r="E7" s="3"/>
      <c r="F7">
        <v>37.54</v>
      </c>
      <c r="G7">
        <f t="shared" si="0"/>
        <v>1.877</v>
      </c>
      <c r="H7" s="3"/>
      <c r="I7">
        <v>28.1</v>
      </c>
      <c r="J7">
        <v>1.405</v>
      </c>
    </row>
    <row r="8" spans="1:10">
      <c r="A8" s="4" t="s">
        <v>9</v>
      </c>
      <c r="B8" s="4">
        <v>0.038</v>
      </c>
      <c r="C8" s="4">
        <v>0.115</v>
      </c>
      <c r="D8" s="4">
        <v>0.45</v>
      </c>
      <c r="E8" s="4">
        <v>0.19</v>
      </c>
      <c r="F8" s="4">
        <f>AVERAGE(F3:F7)</f>
        <v>37.7</v>
      </c>
      <c r="G8" s="4">
        <f>AVERAGE(G3:G7)</f>
        <v>1.885</v>
      </c>
      <c r="H8" s="4">
        <v>0.39</v>
      </c>
      <c r="I8" s="4">
        <f>AVERAGE(I3:I7)</f>
        <v>27.72</v>
      </c>
      <c r="J8" s="4">
        <f>AVERAGE(J3:J7)</f>
        <v>1.386</v>
      </c>
    </row>
    <row r="11" spans="1:1">
      <c r="A11" t="s">
        <v>10</v>
      </c>
    </row>
    <row r="12" spans="1:3">
      <c r="A12" s="5" t="s">
        <v>11</v>
      </c>
      <c r="B12" s="5"/>
      <c r="C12" s="5"/>
    </row>
    <row r="13" spans="1:7">
      <c r="A13" s="4" t="s">
        <v>12</v>
      </c>
      <c r="B13">
        <v>0.0013</v>
      </c>
      <c r="D13" s="6" t="s">
        <v>13</v>
      </c>
      <c r="E13" s="6"/>
      <c r="F13" s="6"/>
      <c r="G13" s="6"/>
    </row>
    <row r="14" spans="4:7">
      <c r="D14" s="6"/>
      <c r="E14" s="6"/>
      <c r="F14" s="6"/>
      <c r="G14" s="6"/>
    </row>
    <row r="15" spans="1:7">
      <c r="A15" t="s">
        <v>14</v>
      </c>
      <c r="D15" s="6"/>
      <c r="E15" s="6"/>
      <c r="F15" s="6"/>
      <c r="G15" s="6"/>
    </row>
    <row r="16" spans="1:3">
      <c r="A16" s="5" t="s">
        <v>15</v>
      </c>
      <c r="B16" s="5"/>
      <c r="C16" s="5"/>
    </row>
    <row r="17" spans="1:2">
      <c r="A17" s="4" t="s">
        <v>16</v>
      </c>
      <c r="B17">
        <v>0.0016</v>
      </c>
    </row>
    <row r="20" spans="1:4">
      <c r="A20" s="7" t="s">
        <v>17</v>
      </c>
      <c r="B20" s="7"/>
      <c r="C20" s="7"/>
      <c r="D20" s="7"/>
    </row>
    <row r="21" spans="6:6">
      <c r="F21" t="s">
        <v>18</v>
      </c>
    </row>
    <row r="22" spans="1:7">
      <c r="A22" s="1" t="s">
        <v>19</v>
      </c>
      <c r="B22" t="s">
        <v>20</v>
      </c>
      <c r="F22" s="5" t="s">
        <v>21</v>
      </c>
      <c r="G22" s="5"/>
    </row>
    <row r="23" spans="1:12">
      <c r="A23" s="1" t="s">
        <v>22</v>
      </c>
      <c r="B23" t="s">
        <v>23</v>
      </c>
      <c r="F23" t="s">
        <v>12</v>
      </c>
      <c r="G23">
        <v>0.0022</v>
      </c>
      <c r="I23" s="6" t="s">
        <v>13</v>
      </c>
      <c r="J23" s="6"/>
      <c r="K23" s="6"/>
      <c r="L23" s="6"/>
    </row>
    <row r="24" spans="9:12">
      <c r="I24" s="6"/>
      <c r="J24" s="6"/>
      <c r="K24" s="6"/>
      <c r="L24" s="6"/>
    </row>
    <row r="25" spans="6:12">
      <c r="F25" s="8" t="s">
        <v>24</v>
      </c>
      <c r="G25" s="8"/>
      <c r="I25" s="6" t="s">
        <v>25</v>
      </c>
      <c r="J25" s="6"/>
      <c r="K25" s="6"/>
      <c r="L25" s="6"/>
    </row>
    <row r="26" spans="6:7">
      <c r="F26" s="5" t="s">
        <v>26</v>
      </c>
      <c r="G26" s="5"/>
    </row>
    <row r="27" spans="6:7">
      <c r="F27" t="s">
        <v>12</v>
      </c>
      <c r="G27">
        <v>0.0026</v>
      </c>
    </row>
  </sheetData>
  <mergeCells count="14">
    <mergeCell ref="A12:C12"/>
    <mergeCell ref="A16:C16"/>
    <mergeCell ref="A20:D20"/>
    <mergeCell ref="F22:G22"/>
    <mergeCell ref="F25:G25"/>
    <mergeCell ref="I25:L25"/>
    <mergeCell ref="F26:G26"/>
    <mergeCell ref="B3:B7"/>
    <mergeCell ref="C3:C7"/>
    <mergeCell ref="D3:D7"/>
    <mergeCell ref="E3:E7"/>
    <mergeCell ref="H3:H7"/>
    <mergeCell ref="I23:L24"/>
    <mergeCell ref="D13:G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писька пиписька</cp:lastModifiedBy>
  <dcterms:created xsi:type="dcterms:W3CDTF">2022-10-27T16:04:00Z</dcterms:created>
  <dcterms:modified xsi:type="dcterms:W3CDTF">2022-12-01T09:35:26Z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3C1FB3B178784A31A16A868368CF011A</vt:lpwstr>
  </property>
  <property fmtid="{D5CDD505-2E9C-101B-9397-08002B2CF9AE}" pid="3" name="KSOProductBuildVer">
    <vt:lpwstr>1049-11.2.0.11388</vt:lpwstr>
  </property>
</Properties>
</file>
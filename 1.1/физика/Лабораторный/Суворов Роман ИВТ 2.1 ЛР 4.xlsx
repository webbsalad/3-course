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5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<sst xmlns="http://schemas.openxmlformats.org/spreadsheetml/2006/main" count="39" uniqueCount="28">
  <si>
    <t>Брусок</t>
  </si>
  <si>
    <t>Кольцо</t>
  </si>
  <si>
    <t>№</t>
  </si>
  <si>
    <t>Время,с</t>
  </si>
  <si>
    <t>N</t>
  </si>
  <si>
    <t>m, кг</t>
  </si>
  <si>
    <t>a, м</t>
  </si>
  <si>
    <t>b , м</t>
  </si>
  <si>
    <t>c , м</t>
  </si>
  <si>
    <t>R1, м</t>
  </si>
  <si>
    <t>R2 , м</t>
  </si>
  <si>
    <t>R , м</t>
  </si>
  <si>
    <r>
      <rPr>
        <sz val="11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k</t>
    </r>
    <r>
      <rPr>
        <sz val="11"/>
        <color theme="1"/>
        <rFont val="Calibri"/>
        <charset val="204"/>
        <scheme val="minor"/>
      </rPr>
      <t xml:space="preserve"> =</t>
    </r>
  </si>
  <si>
    <t>1/2*m*(R1^2+R2^2) =</t>
  </si>
  <si>
    <t>m*R^2 =</t>
  </si>
  <si>
    <t>для теоретического</t>
  </si>
  <si>
    <t xml:space="preserve"> </t>
  </si>
  <si>
    <r>
      <rPr>
        <sz val="11"/>
        <color theme="1"/>
        <rFont val="Calibri"/>
        <charset val="134"/>
        <scheme val="minor"/>
      </rPr>
      <t>Т</t>
    </r>
    <r>
      <rPr>
        <sz val="8"/>
        <color theme="1"/>
        <rFont val="Calibri"/>
        <charset val="204"/>
        <scheme val="minor"/>
      </rPr>
      <t>б</t>
    </r>
    <r>
      <rPr>
        <sz val="11"/>
        <color theme="1"/>
        <rFont val="Calibri"/>
        <charset val="204"/>
        <scheme val="minor"/>
      </rPr>
      <t xml:space="preserve"> =</t>
    </r>
  </si>
  <si>
    <t>tср/N =</t>
  </si>
  <si>
    <r>
      <rPr>
        <sz val="11"/>
        <color theme="1"/>
        <rFont val="Calibri"/>
        <charset val="134"/>
        <scheme val="minor"/>
      </rPr>
      <t>Т</t>
    </r>
    <r>
      <rPr>
        <sz val="8"/>
        <color theme="1"/>
        <rFont val="Calibri"/>
        <charset val="204"/>
        <scheme val="minor"/>
      </rPr>
      <t xml:space="preserve">к </t>
    </r>
    <r>
      <rPr>
        <sz val="11"/>
        <color theme="1"/>
        <rFont val="Calibri"/>
        <charset val="204"/>
        <scheme val="minor"/>
      </rPr>
      <t>=</t>
    </r>
  </si>
  <si>
    <r>
      <rPr>
        <sz val="11"/>
        <color theme="1"/>
        <rFont val="Calibri"/>
        <charset val="134"/>
        <scheme val="minor"/>
      </rPr>
      <t>2*π* √(J</t>
    </r>
    <r>
      <rPr>
        <sz val="8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>/C) =</t>
    </r>
  </si>
  <si>
    <r>
      <rPr>
        <sz val="11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б</t>
    </r>
    <r>
      <rPr>
        <sz val="11"/>
        <color theme="1"/>
        <rFont val="Calibri"/>
        <charset val="204"/>
        <scheme val="minor"/>
      </rPr>
      <t xml:space="preserve"> =</t>
    </r>
  </si>
  <si>
    <r>
      <rPr>
        <sz val="11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k</t>
    </r>
    <r>
      <rPr>
        <sz val="11"/>
        <color theme="1"/>
        <rFont val="Calibri"/>
        <charset val="204"/>
        <scheme val="minor"/>
      </rPr>
      <t>*(T</t>
    </r>
    <r>
      <rPr>
        <sz val="8"/>
        <color theme="1"/>
        <rFont val="Calibri"/>
        <charset val="204"/>
        <scheme val="minor"/>
      </rPr>
      <t>б^2</t>
    </r>
    <r>
      <rPr>
        <sz val="11"/>
        <color theme="1"/>
        <rFont val="Calibri"/>
        <charset val="204"/>
        <scheme val="minor"/>
      </rPr>
      <t>/T</t>
    </r>
    <r>
      <rPr>
        <sz val="8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204"/>
        <scheme val="minor"/>
      </rPr>
      <t>^2)</t>
    </r>
    <r>
      <rPr>
        <sz val="11"/>
        <color theme="1"/>
        <rFont val="Calibri"/>
        <charset val="134"/>
        <scheme val="minor"/>
      </rPr>
      <t xml:space="preserve"> =</t>
    </r>
  </si>
  <si>
    <t>(m*(a^2+b^2))/12 =</t>
  </si>
  <si>
    <r>
      <rPr>
        <sz val="11"/>
        <color theme="1"/>
        <rFont val="Calibri"/>
        <charset val="134"/>
        <scheme val="minor"/>
      </rPr>
      <t>2*π* √(J</t>
    </r>
    <r>
      <rPr>
        <sz val="8"/>
        <color theme="1"/>
        <rFont val="Calibri"/>
        <charset val="204"/>
        <scheme val="minor"/>
      </rPr>
      <t>б</t>
    </r>
    <r>
      <rPr>
        <sz val="11"/>
        <color theme="1"/>
        <rFont val="Calibri"/>
        <charset val="134"/>
        <scheme val="minor"/>
      </rPr>
      <t>/C) =</t>
    </r>
  </si>
  <si>
    <r>
      <rPr>
        <sz val="12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б,</t>
    </r>
    <r>
      <rPr>
        <sz val="12"/>
        <color theme="1"/>
        <rFont val="Calibri"/>
        <charset val="134"/>
        <scheme val="minor"/>
      </rPr>
      <t xml:space="preserve"> полученное теоритически</t>
    </r>
  </si>
  <si>
    <r>
      <rPr>
        <sz val="12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б,</t>
    </r>
    <r>
      <rPr>
        <sz val="12"/>
        <color theme="1"/>
        <rFont val="Calibri"/>
        <charset val="134"/>
        <scheme val="minor"/>
      </rPr>
      <t xml:space="preserve"> полученное экспериментально</t>
    </r>
  </si>
  <si>
    <r>
      <rPr>
        <sz val="12"/>
        <color theme="1"/>
        <rFont val="Calibri"/>
        <charset val="134"/>
        <scheme val="minor"/>
      </rPr>
      <t>J</t>
    </r>
    <r>
      <rPr>
        <sz val="8"/>
        <color theme="1"/>
        <rFont val="Calibri"/>
        <charset val="204"/>
        <scheme val="minor"/>
      </rPr>
      <t>б,</t>
    </r>
    <r>
      <rPr>
        <sz val="12"/>
        <color theme="1"/>
        <rFont val="Calibri"/>
        <charset val="134"/>
        <scheme val="minor"/>
      </rPr>
      <t xml:space="preserve"> полученное теоритически, и J</t>
    </r>
    <r>
      <rPr>
        <sz val="8"/>
        <color theme="1"/>
        <rFont val="Calibri"/>
        <charset val="204"/>
        <scheme val="minor"/>
      </rPr>
      <t>б,</t>
    </r>
    <r>
      <rPr>
        <sz val="12"/>
        <color theme="1"/>
        <rFont val="Calibri"/>
        <charset val="134"/>
        <scheme val="minor"/>
      </rPr>
      <t xml:space="preserve"> полученное экспериментально, равны</t>
    </r>
  </si>
</sst>
</file>

<file path=xl/styles.xml><?xml version="1.0" encoding="utf-8"?>
<styleSheet xmlns="http://schemas.openxmlformats.org/spreadsheetml/2006/main">
  <numFmts count="4">
    <numFmt numFmtId="176" formatCode="_-* #\.##0.00_-;\-* #\.##0.00_-;_-* &quot;-&quot;??_-;_-@_-"/>
    <numFmt numFmtId="177" formatCode="_-* #\.##0\ &quot;₽&quot;_-;\-* #\.##0\ &quot;₽&quot;_-;_-* \-\ &quot;₽&quot;_-;_-@_-"/>
    <numFmt numFmtId="178" formatCode="_-* #\.##0.00\ &quot;₽&quot;_-;\-* #\.##0.00\ &quot;₽&quot;_-;_-* \-??\ &quot;₽&quot;_-;_-@_-"/>
    <numFmt numFmtId="179" formatCode="_-* #\.##0_-;\-* #\.##0_-;_-* &quot;-&quot;_-;_-@_-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20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8"/>
      <color theme="1"/>
      <name val="Calibri"/>
      <charset val="204"/>
      <scheme val="minor"/>
    </font>
    <font>
      <sz val="11"/>
      <color theme="1"/>
      <name val="Calibri"/>
      <charset val="20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13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31" borderId="3" applyNumberFormat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7" fillId="16" borderId="3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0" xfId="0" applyFont="1" applyFill="1" applyAlignment="1">
      <alignment horizontal="center" vertical="center" wrapText="1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P16" sqref="P16"/>
    </sheetView>
  </sheetViews>
  <sheetFormatPr defaultColWidth="8.85454545454546" defaultRowHeight="14.5"/>
  <cols>
    <col min="1" max="3" width="8.85454545454546" style="1"/>
    <col min="4" max="4" width="12.8181818181818" style="1"/>
    <col min="5" max="12" width="8.85454545454546" style="1"/>
    <col min="13" max="13" width="10.5454545454545" style="1"/>
    <col min="14" max="14" width="8.85454545454546" style="1"/>
    <col min="15" max="15" width="12.8181818181818" style="1"/>
    <col min="16" max="16384" width="8.85454545454546" style="1"/>
  </cols>
  <sheetData>
    <row r="1" spans="1:18">
      <c r="A1" s="2" t="s">
        <v>0</v>
      </c>
      <c r="B1" s="2"/>
      <c r="C1" s="2"/>
      <c r="E1" s="2" t="s">
        <v>1</v>
      </c>
      <c r="F1" s="2"/>
      <c r="G1" s="2"/>
      <c r="I1" s="2" t="s">
        <v>0</v>
      </c>
      <c r="J1" s="2"/>
      <c r="K1" s="2"/>
      <c r="L1" s="2"/>
      <c r="O1" s="2" t="s">
        <v>1</v>
      </c>
      <c r="P1" s="2"/>
      <c r="Q1" s="2"/>
      <c r="R1" s="2"/>
    </row>
    <row r="2" spans="1:18">
      <c r="A2" s="3" t="s">
        <v>2</v>
      </c>
      <c r="B2" s="3" t="s">
        <v>3</v>
      </c>
      <c r="C2" s="3" t="s">
        <v>4</v>
      </c>
      <c r="D2" s="4"/>
      <c r="E2" s="3" t="s">
        <v>2</v>
      </c>
      <c r="F2" s="3" t="s">
        <v>3</v>
      </c>
      <c r="G2" s="3" t="s">
        <v>4</v>
      </c>
      <c r="H2" s="4"/>
      <c r="I2" s="3" t="s">
        <v>5</v>
      </c>
      <c r="J2" s="3" t="s">
        <v>6</v>
      </c>
      <c r="K2" s="3" t="s">
        <v>7</v>
      </c>
      <c r="L2" s="3" t="s">
        <v>8</v>
      </c>
      <c r="M2" s="4"/>
      <c r="N2" s="4"/>
      <c r="O2" s="3" t="s">
        <v>5</v>
      </c>
      <c r="P2" s="3" t="s">
        <v>9</v>
      </c>
      <c r="Q2" s="3" t="s">
        <v>10</v>
      </c>
      <c r="R2" s="3" t="s">
        <v>11</v>
      </c>
    </row>
    <row r="3" spans="1:18">
      <c r="A3" s="5">
        <v>1</v>
      </c>
      <c r="B3" s="6">
        <v>13.45</v>
      </c>
      <c r="C3" s="6">
        <v>20</v>
      </c>
      <c r="E3" s="5">
        <v>1</v>
      </c>
      <c r="F3" s="6">
        <v>19.1</v>
      </c>
      <c r="G3" s="6">
        <v>20</v>
      </c>
      <c r="I3" s="6">
        <v>0.85</v>
      </c>
      <c r="J3" s="6">
        <v>0.125</v>
      </c>
      <c r="K3" s="6">
        <v>0.05</v>
      </c>
      <c r="L3" s="6">
        <f>0.03</f>
        <v>0.03</v>
      </c>
      <c r="O3" s="6">
        <v>0.4</v>
      </c>
      <c r="P3" s="6">
        <v>0.072</v>
      </c>
      <c r="Q3" s="6">
        <v>0.069</v>
      </c>
      <c r="R3" s="6">
        <f>(P3+Q3)/2</f>
        <v>0.0705</v>
      </c>
    </row>
    <row r="4" spans="1:7">
      <c r="A4" s="5">
        <v>2</v>
      </c>
      <c r="B4" s="6">
        <v>13.53</v>
      </c>
      <c r="C4" s="6">
        <v>20</v>
      </c>
      <c r="E4" s="5">
        <v>2</v>
      </c>
      <c r="F4" s="6">
        <v>18.9</v>
      </c>
      <c r="G4" s="6">
        <v>20</v>
      </c>
    </row>
    <row r="5" spans="1:19">
      <c r="A5" s="5">
        <v>3</v>
      </c>
      <c r="B5" s="6">
        <v>13.48</v>
      </c>
      <c r="C5" s="6">
        <v>20</v>
      </c>
      <c r="E5" s="5">
        <v>3</v>
      </c>
      <c r="F5" s="6">
        <v>19</v>
      </c>
      <c r="G5" s="6">
        <v>20</v>
      </c>
      <c r="I5" s="7" t="s">
        <v>12</v>
      </c>
      <c r="J5" s="13" t="s">
        <v>13</v>
      </c>
      <c r="K5" s="14"/>
      <c r="L5" s="14" t="s">
        <v>14</v>
      </c>
      <c r="M5" s="8">
        <f>O3*R3^2</f>
        <v>0.0019881</v>
      </c>
      <c r="N5" s="1" t="s">
        <v>15</v>
      </c>
      <c r="S5" s="1" t="s">
        <v>16</v>
      </c>
    </row>
    <row r="6" spans="1:7">
      <c r="A6" s="5">
        <v>4</v>
      </c>
      <c r="B6" s="6">
        <v>13.58</v>
      </c>
      <c r="C6" s="6">
        <v>20</v>
      </c>
      <c r="E6" s="5">
        <v>4</v>
      </c>
      <c r="F6" s="6">
        <v>19.15</v>
      </c>
      <c r="G6" s="6">
        <v>20</v>
      </c>
    </row>
    <row r="7" spans="1:7">
      <c r="A7" s="5">
        <v>5</v>
      </c>
      <c r="B7" s="6">
        <v>13.5</v>
      </c>
      <c r="C7" s="6">
        <v>20</v>
      </c>
      <c r="E7" s="5">
        <v>5</v>
      </c>
      <c r="F7" s="6">
        <v>19</v>
      </c>
      <c r="G7" s="6">
        <v>20</v>
      </c>
    </row>
    <row r="9" spans="1:7">
      <c r="A9" s="7" t="s">
        <v>17</v>
      </c>
      <c r="B9" s="7" t="s">
        <v>18</v>
      </c>
      <c r="C9" s="8">
        <f>AVERAGE(B3:B7)/C3</f>
        <v>0.6754</v>
      </c>
      <c r="D9" s="1" t="s">
        <v>16</v>
      </c>
      <c r="E9" s="7" t="s">
        <v>19</v>
      </c>
      <c r="F9" s="7" t="s">
        <v>18</v>
      </c>
      <c r="G9" s="8">
        <f>AVERAGE(F3:F7)/G3</f>
        <v>0.9515</v>
      </c>
    </row>
    <row r="13" ht="14.45" customHeight="1" spans="1:15">
      <c r="A13" s="7" t="s">
        <v>19</v>
      </c>
      <c r="B13" s="9" t="s">
        <v>20</v>
      </c>
      <c r="C13" s="10"/>
      <c r="D13" s="11">
        <f>2*3.14*SQRT(M5/10)</f>
        <v>0.088548</v>
      </c>
      <c r="G13" s="10" t="s">
        <v>21</v>
      </c>
      <c r="H13" s="9" t="s">
        <v>22</v>
      </c>
      <c r="I13" s="10"/>
      <c r="J13" s="11">
        <f>M5*(D14^2/D13^2)</f>
        <v>0.0019881</v>
      </c>
      <c r="L13" s="10" t="s">
        <v>21</v>
      </c>
      <c r="M13" s="10" t="s">
        <v>23</v>
      </c>
      <c r="N13" s="10"/>
      <c r="O13" s="11">
        <f>(I3*(J3^2+K3^2))/12</f>
        <v>0.00128385416666667</v>
      </c>
    </row>
    <row r="14" ht="14.45" customHeight="1" spans="1:4">
      <c r="A14" s="7" t="s">
        <v>17</v>
      </c>
      <c r="B14" s="9" t="s">
        <v>24</v>
      </c>
      <c r="C14" s="10"/>
      <c r="D14" s="11">
        <f>2*3.14*SQRT(M5/10)</f>
        <v>0.088548</v>
      </c>
    </row>
    <row r="15" spans="7:15">
      <c r="G15" s="12" t="s">
        <v>25</v>
      </c>
      <c r="H15" s="12"/>
      <c r="I15" s="12"/>
      <c r="J15" s="12"/>
      <c r="L15" s="12" t="s">
        <v>26</v>
      </c>
      <c r="M15" s="12"/>
      <c r="N15" s="12"/>
      <c r="O15" s="12"/>
    </row>
    <row r="16" spans="7:15">
      <c r="G16" s="12"/>
      <c r="H16" s="12"/>
      <c r="I16" s="12"/>
      <c r="J16" s="12"/>
      <c r="L16" s="12"/>
      <c r="M16" s="12"/>
      <c r="N16" s="12"/>
      <c r="O16" s="12"/>
    </row>
    <row r="20" spans="10:15">
      <c r="J20" s="15" t="s">
        <v>27</v>
      </c>
      <c r="K20" s="15"/>
      <c r="L20" s="15"/>
      <c r="M20" s="15"/>
      <c r="N20" s="15"/>
      <c r="O20" s="15"/>
    </row>
    <row r="21" spans="10:15">
      <c r="J21" s="15"/>
      <c r="K21" s="15"/>
      <c r="L21" s="15"/>
      <c r="M21" s="15"/>
      <c r="N21" s="15"/>
      <c r="O21" s="15"/>
    </row>
    <row r="22" spans="10:15">
      <c r="J22" s="15"/>
      <c r="K22" s="15"/>
      <c r="L22" s="15"/>
      <c r="M22" s="15"/>
      <c r="N22" s="15"/>
      <c r="O22" s="15"/>
    </row>
    <row r="23" spans="10:15">
      <c r="J23" s="15"/>
      <c r="K23" s="15"/>
      <c r="L23" s="15"/>
      <c r="M23" s="15"/>
      <c r="N23" s="15"/>
      <c r="O23" s="15"/>
    </row>
    <row r="24" spans="10:15">
      <c r="J24" s="15"/>
      <c r="K24" s="15"/>
      <c r="L24" s="15"/>
      <c r="M24" s="15"/>
      <c r="N24" s="15"/>
      <c r="O24" s="15"/>
    </row>
    <row r="25" spans="10:15">
      <c r="J25" s="15"/>
      <c r="K25" s="15"/>
      <c r="L25" s="15"/>
      <c r="M25" s="15"/>
      <c r="N25" s="15"/>
      <c r="O25" s="15"/>
    </row>
    <row r="26" spans="10:15">
      <c r="J26" s="15"/>
      <c r="K26" s="15"/>
      <c r="L26" s="15"/>
      <c r="M26" s="15"/>
      <c r="N26" s="15"/>
      <c r="O26" s="15"/>
    </row>
    <row r="27" spans="10:15">
      <c r="J27" s="15"/>
      <c r="K27" s="15"/>
      <c r="L27" s="15"/>
      <c r="M27" s="15"/>
      <c r="N27" s="15"/>
      <c r="O27" s="15"/>
    </row>
  </sheetData>
  <mergeCells count="13">
    <mergeCell ref="A1:C1"/>
    <mergeCell ref="E1:G1"/>
    <mergeCell ref="I1:L1"/>
    <mergeCell ref="O1:R1"/>
    <mergeCell ref="J5:K5"/>
    <mergeCell ref="N5:P5"/>
    <mergeCell ref="B13:C13"/>
    <mergeCell ref="H13:I13"/>
    <mergeCell ref="M13:N13"/>
    <mergeCell ref="B14:C14"/>
    <mergeCell ref="G15:J16"/>
    <mergeCell ref="J20:O27"/>
    <mergeCell ref="L15:O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писька пиписька</cp:lastModifiedBy>
  <dcterms:created xsi:type="dcterms:W3CDTF">2015-06-05T18:19:00Z</dcterms:created>
  <dcterms:modified xsi:type="dcterms:W3CDTF">2022-12-15T10:31:10Z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04F77B9031CB41D7ADCD67D0EE003874</vt:lpwstr>
  </property>
  <property fmtid="{D5CDD505-2E9C-101B-9397-08002B2CF9AE}" pid="3" name="KSOProductBuildVer">
    <vt:lpwstr>1049-11.2.0.11388</vt:lpwstr>
  </property>
</Properties>
</file>
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yom\Downloads\Telegram Desktop\"/>
    </mc:Choice>
  </mc:AlternateContent>
  <xr:revisionPtr revIDLastSave="0" documentId="8_{65FAAE3D-2E7B-40D6-B89F-3F806E6227DC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задание 0" sheetId="1" r:id="rId1"/>
    <sheet name="задание 2.1" sheetId="2" r:id="rId2"/>
    <sheet name="задание 2.2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3" l="1"/>
  <c r="C93" i="3"/>
  <c r="D93" i="3"/>
  <c r="E93" i="3"/>
  <c r="F93" i="3"/>
  <c r="G93" i="3"/>
  <c r="H93" i="3"/>
  <c r="B94" i="3"/>
  <c r="C94" i="3"/>
  <c r="D94" i="3"/>
  <c r="E94" i="3"/>
  <c r="F94" i="3"/>
  <c r="G94" i="3"/>
  <c r="H94" i="3"/>
  <c r="B95" i="3"/>
  <c r="C95" i="3"/>
  <c r="D95" i="3"/>
  <c r="E95" i="3"/>
  <c r="F95" i="3"/>
  <c r="G95" i="3"/>
  <c r="H95" i="3"/>
  <c r="B96" i="3"/>
  <c r="C96" i="3"/>
  <c r="D96" i="3"/>
  <c r="E96" i="3"/>
  <c r="F96" i="3"/>
  <c r="G96" i="3"/>
  <c r="H96" i="3"/>
  <c r="B97" i="3"/>
  <c r="C97" i="3"/>
  <c r="D97" i="3"/>
  <c r="E97" i="3"/>
  <c r="F97" i="3"/>
  <c r="G97" i="3"/>
  <c r="H97" i="3"/>
  <c r="B98" i="3"/>
  <c r="C98" i="3"/>
  <c r="D98" i="3"/>
  <c r="E98" i="3"/>
  <c r="F98" i="3"/>
  <c r="G98" i="3"/>
  <c r="H98" i="3"/>
  <c r="C92" i="3"/>
  <c r="D92" i="3"/>
  <c r="E92" i="3"/>
  <c r="F92" i="3"/>
  <c r="G92" i="3"/>
  <c r="H92" i="3"/>
  <c r="B92" i="3"/>
  <c r="B70" i="3"/>
  <c r="C70" i="3"/>
  <c r="D70" i="3"/>
  <c r="E70" i="3"/>
  <c r="F70" i="3"/>
  <c r="G70" i="3"/>
  <c r="H70" i="3"/>
  <c r="B71" i="3"/>
  <c r="C71" i="3"/>
  <c r="D71" i="3"/>
  <c r="E71" i="3"/>
  <c r="F71" i="3"/>
  <c r="G71" i="3"/>
  <c r="H71" i="3"/>
  <c r="B72" i="3"/>
  <c r="C72" i="3"/>
  <c r="D72" i="3"/>
  <c r="E72" i="3"/>
  <c r="F72" i="3"/>
  <c r="G72" i="3"/>
  <c r="H72" i="3"/>
  <c r="B73" i="3"/>
  <c r="C73" i="3"/>
  <c r="D73" i="3"/>
  <c r="E73" i="3"/>
  <c r="F73" i="3"/>
  <c r="G73" i="3"/>
  <c r="H73" i="3"/>
  <c r="B74" i="3"/>
  <c r="C74" i="3"/>
  <c r="D74" i="3"/>
  <c r="E74" i="3"/>
  <c r="F74" i="3"/>
  <c r="G74" i="3"/>
  <c r="H74" i="3"/>
  <c r="B75" i="3"/>
  <c r="C75" i="3"/>
  <c r="D75" i="3"/>
  <c r="E75" i="3"/>
  <c r="F75" i="3"/>
  <c r="G75" i="3"/>
  <c r="H75" i="3"/>
  <c r="C69" i="3"/>
  <c r="D69" i="3"/>
  <c r="E69" i="3"/>
  <c r="F69" i="3"/>
  <c r="G69" i="3"/>
  <c r="H69" i="3"/>
  <c r="B69" i="3"/>
  <c r="B49" i="3"/>
  <c r="C49" i="3"/>
  <c r="D49" i="3"/>
  <c r="E49" i="3"/>
  <c r="F49" i="3"/>
  <c r="G49" i="3"/>
  <c r="H49" i="3"/>
  <c r="B50" i="3"/>
  <c r="C50" i="3"/>
  <c r="D50" i="3"/>
  <c r="E50" i="3"/>
  <c r="F50" i="3"/>
  <c r="G50" i="3"/>
  <c r="H50" i="3"/>
  <c r="B51" i="3"/>
  <c r="C51" i="3"/>
  <c r="D51" i="3"/>
  <c r="E51" i="3"/>
  <c r="F51" i="3"/>
  <c r="G51" i="3"/>
  <c r="H51" i="3"/>
  <c r="B52" i="3"/>
  <c r="C52" i="3"/>
  <c r="D52" i="3"/>
  <c r="E52" i="3"/>
  <c r="F52" i="3"/>
  <c r="G52" i="3"/>
  <c r="H52" i="3"/>
  <c r="B53" i="3"/>
  <c r="C53" i="3"/>
  <c r="D53" i="3"/>
  <c r="E53" i="3"/>
  <c r="F53" i="3"/>
  <c r="G53" i="3"/>
  <c r="H53" i="3"/>
  <c r="B54" i="3"/>
  <c r="C54" i="3"/>
  <c r="D54" i="3"/>
  <c r="E54" i="3"/>
  <c r="F54" i="3"/>
  <c r="G54" i="3"/>
  <c r="H54" i="3"/>
  <c r="C48" i="3"/>
  <c r="D48" i="3"/>
  <c r="E48" i="3"/>
  <c r="F48" i="3"/>
  <c r="G48" i="3"/>
  <c r="H48" i="3"/>
  <c r="B48" i="3"/>
  <c r="B26" i="3"/>
  <c r="C26" i="3"/>
  <c r="D26" i="3"/>
  <c r="E26" i="3"/>
  <c r="F26" i="3"/>
  <c r="G26" i="3"/>
  <c r="H26" i="3"/>
  <c r="B27" i="3"/>
  <c r="C27" i="3"/>
  <c r="D27" i="3"/>
  <c r="E27" i="3"/>
  <c r="F27" i="3"/>
  <c r="G27" i="3"/>
  <c r="H27" i="3"/>
  <c r="B28" i="3"/>
  <c r="C28" i="3"/>
  <c r="D28" i="3"/>
  <c r="E28" i="3"/>
  <c r="F28" i="3"/>
  <c r="G28" i="3"/>
  <c r="H28" i="3"/>
  <c r="B29" i="3"/>
  <c r="C29" i="3"/>
  <c r="D29" i="3"/>
  <c r="E29" i="3"/>
  <c r="F29" i="3"/>
  <c r="G29" i="3"/>
  <c r="H29" i="3"/>
  <c r="B30" i="3"/>
  <c r="C30" i="3"/>
  <c r="D30" i="3"/>
  <c r="E30" i="3"/>
  <c r="F30" i="3"/>
  <c r="G30" i="3"/>
  <c r="H30" i="3"/>
  <c r="B31" i="3"/>
  <c r="C31" i="3"/>
  <c r="D31" i="3"/>
  <c r="E31" i="3"/>
  <c r="F31" i="3"/>
  <c r="G31" i="3"/>
  <c r="H31" i="3"/>
  <c r="C25" i="3"/>
  <c r="D25" i="3"/>
  <c r="E25" i="3"/>
  <c r="F25" i="3"/>
  <c r="G25" i="3"/>
  <c r="H25" i="3"/>
  <c r="B25" i="3"/>
  <c r="F28" i="2"/>
  <c r="C28" i="2"/>
  <c r="D28" i="2"/>
  <c r="E28" i="2"/>
  <c r="G28" i="2"/>
  <c r="H28" i="2"/>
  <c r="I28" i="2"/>
  <c r="J28" i="2"/>
  <c r="K28" i="2"/>
  <c r="B28" i="2"/>
  <c r="C51" i="2"/>
  <c r="D51" i="2"/>
  <c r="E51" i="2"/>
  <c r="F51" i="2"/>
  <c r="G51" i="2"/>
  <c r="H51" i="2"/>
  <c r="I51" i="2"/>
  <c r="J51" i="2"/>
  <c r="K51" i="2"/>
  <c r="B51" i="2"/>
  <c r="B72" i="2"/>
  <c r="B51" i="1"/>
  <c r="H6" i="1"/>
  <c r="H5" i="1"/>
  <c r="B2" i="3"/>
  <c r="B3" i="3"/>
  <c r="C3" i="3"/>
  <c r="D3" i="3"/>
  <c r="E3" i="3"/>
  <c r="F3" i="3"/>
  <c r="G3" i="3"/>
  <c r="H3" i="3"/>
  <c r="B4" i="3"/>
  <c r="C4" i="3"/>
  <c r="D4" i="3"/>
  <c r="E4" i="3"/>
  <c r="F4" i="3"/>
  <c r="G4" i="3"/>
  <c r="H4" i="3"/>
  <c r="B5" i="3"/>
  <c r="C5" i="3"/>
  <c r="D5" i="3"/>
  <c r="E5" i="3"/>
  <c r="F5" i="3"/>
  <c r="G5" i="3"/>
  <c r="H5" i="3"/>
  <c r="B6" i="3"/>
  <c r="C6" i="3"/>
  <c r="D6" i="3"/>
  <c r="E6" i="3"/>
  <c r="F6" i="3"/>
  <c r="G6" i="3"/>
  <c r="H6" i="3"/>
  <c r="B7" i="3"/>
  <c r="C7" i="3"/>
  <c r="D7" i="3"/>
  <c r="E7" i="3"/>
  <c r="F7" i="3"/>
  <c r="G7" i="3"/>
  <c r="H7" i="3"/>
  <c r="B8" i="3"/>
  <c r="C8" i="3"/>
  <c r="D8" i="3"/>
  <c r="E8" i="3"/>
  <c r="F8" i="3"/>
  <c r="G8" i="3"/>
  <c r="H8" i="3"/>
  <c r="C2" i="3"/>
  <c r="D2" i="3"/>
  <c r="E2" i="3"/>
  <c r="F2" i="3"/>
  <c r="G2" i="3"/>
  <c r="H2" i="3"/>
  <c r="C72" i="2"/>
  <c r="D72" i="2"/>
  <c r="E72" i="2"/>
  <c r="F72" i="2"/>
  <c r="G72" i="2"/>
  <c r="H72" i="2"/>
  <c r="I72" i="2"/>
  <c r="J72" i="2"/>
  <c r="K72" i="2"/>
  <c r="H2" i="1"/>
  <c r="H1" i="1"/>
  <c r="C6" i="2"/>
  <c r="D6" i="2"/>
  <c r="E6" i="2"/>
  <c r="F6" i="2"/>
  <c r="G6" i="2"/>
  <c r="H6" i="2"/>
  <c r="I6" i="2"/>
  <c r="J6" i="2"/>
  <c r="K6" i="2"/>
  <c r="B6" i="2"/>
</calcChain>
</file>

<file path=xl/sharedStrings.xml><?xml version="1.0" encoding="utf-8"?>
<sst xmlns="http://schemas.openxmlformats.org/spreadsheetml/2006/main" count="31" uniqueCount="17">
  <si>
    <t>день рождения</t>
  </si>
  <si>
    <t>день</t>
  </si>
  <si>
    <t>месяц</t>
  </si>
  <si>
    <t>год</t>
  </si>
  <si>
    <t>a(4)</t>
  </si>
  <si>
    <t>b(4)</t>
  </si>
  <si>
    <t>номер дома</t>
  </si>
  <si>
    <t>номер квартиры</t>
  </si>
  <si>
    <t>b(3)</t>
  </si>
  <si>
    <t>c(3)</t>
  </si>
  <si>
    <t>номер варианта</t>
  </si>
  <si>
    <t>a(1)</t>
  </si>
  <si>
    <t>b(1)</t>
  </si>
  <si>
    <t>x</t>
  </si>
  <si>
    <t>y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</si>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</sst>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1" fillId="4" borderId="0" xfId="0" quotePrefix="1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|a/b+|x||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2.1'!$B$5:$K$5</c:f>
              <c:numCache>
                <c:formatCode>General</c:formatCode>
                <c:ptCount val="10"/>
                <c:pt idx="0">
                  <c:v>-5</c:v>
                </c:pt>
                <c:pt idx="1">
                  <c:v>-3</c:v>
                </c:pt>
                <c:pt idx="2">
                  <c:v>-1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</c:numCache>
            </c:numRef>
          </c:xVal>
          <c:yVal>
            <c:numRef>
              <c:f>'задание 2.1'!$B$6:$K$6</c:f>
              <c:numCache>
                <c:formatCode>General</c:formatCode>
                <c:ptCount val="10"/>
                <c:pt idx="0">
                  <c:v>5.4705882352941178</c:v>
                </c:pt>
                <c:pt idx="1">
                  <c:v>3.4705882352941178</c:v>
                </c:pt>
                <c:pt idx="2">
                  <c:v>1.4705882352941178</c:v>
                </c:pt>
                <c:pt idx="3">
                  <c:v>1.4705882352941178</c:v>
                </c:pt>
                <c:pt idx="4">
                  <c:v>3.4705882352941178</c:v>
                </c:pt>
                <c:pt idx="5">
                  <c:v>5.4705882352941178</c:v>
                </c:pt>
                <c:pt idx="6">
                  <c:v>7.4705882352941178</c:v>
                </c:pt>
                <c:pt idx="7">
                  <c:v>9.4705882352941178</c:v>
                </c:pt>
                <c:pt idx="8">
                  <c:v>11.470588235294118</c:v>
                </c:pt>
                <c:pt idx="9">
                  <c:v>13.470588235294118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EA-4BCB-BF7A-03BA89BCC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250072"/>
        <c:axId val="1220388024"/>
      </c:scatterChart>
      <c:valAx>
        <c:axId val="62725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88024"/>
        <c:crosses val="autoZero"/>
        <c:crossBetween val="midCat"/>
      </c:valAx>
      <c:valAx>
        <c:axId val="122038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50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ax^2+bx+c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2.1'!$B$27:$K$27</c:f>
              <c:numCache>
                <c:formatCode>General</c:formatCode>
                <c:ptCount val="10"/>
                <c:pt idx="0">
                  <c:v>-5</c:v>
                </c:pt>
                <c:pt idx="1">
                  <c:v>-3</c:v>
                </c:pt>
                <c:pt idx="2">
                  <c:v>-1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</c:numCache>
            </c:numRef>
          </c:xVal>
          <c:yVal>
            <c:numRef>
              <c:f>'задание 2.1'!$B$28:$K$28</c:f>
              <c:numCache>
                <c:formatCode>General</c:formatCode>
                <c:ptCount val="10"/>
                <c:pt idx="0">
                  <c:v>424</c:v>
                </c:pt>
                <c:pt idx="1">
                  <c:v>-5837</c:v>
                </c:pt>
                <c:pt idx="2">
                  <c:v>50</c:v>
                </c:pt>
                <c:pt idx="3">
                  <c:v>50</c:v>
                </c:pt>
                <c:pt idx="4">
                  <c:v>0</c:v>
                </c:pt>
                <c:pt idx="5">
                  <c:v>774</c:v>
                </c:pt>
                <c:pt idx="6">
                  <c:v>818</c:v>
                </c:pt>
                <c:pt idx="7">
                  <c:v>1330</c:v>
                </c:pt>
                <c:pt idx="8">
                  <c:v>1970</c:v>
                </c:pt>
                <c:pt idx="9">
                  <c:v>2738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5A-46D9-89F8-D289A46DD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202312"/>
        <c:axId val="1871535175"/>
      </c:scatterChart>
      <c:valAx>
        <c:axId val="75520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35175"/>
        <c:crosses val="autoZero"/>
        <c:crossBetween val="midCat"/>
      </c:valAx>
      <c:valAx>
        <c:axId val="1871535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02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|-5x^2 + bx + c|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2.1'!$B$50:$K$50</c:f>
              <c:numCache>
                <c:formatCode>General</c:formatCode>
                <c:ptCount val="10"/>
                <c:pt idx="0">
                  <c:v>-5</c:v>
                </c:pt>
                <c:pt idx="1">
                  <c:v>-3</c:v>
                </c:pt>
                <c:pt idx="2">
                  <c:v>-1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</c:numCache>
            </c:numRef>
          </c:xVal>
          <c:yVal>
            <c:numRef>
              <c:f>'задание 2.1'!$B$51:$K$51</c:f>
              <c:numCache>
                <c:formatCode>General</c:formatCode>
                <c:ptCount val="10"/>
                <c:pt idx="0">
                  <c:v>197.66666666666666</c:v>
                </c:pt>
                <c:pt idx="1">
                  <c:v>83</c:v>
                </c:pt>
                <c:pt idx="2">
                  <c:v>8.3333333333333321</c:v>
                </c:pt>
                <c:pt idx="3">
                  <c:v>26.333333333333332</c:v>
                </c:pt>
                <c:pt idx="4">
                  <c:v>21</c:v>
                </c:pt>
                <c:pt idx="5">
                  <c:v>24.333333333333343</c:v>
                </c:pt>
                <c:pt idx="6">
                  <c:v>109.66666666666667</c:v>
                </c:pt>
                <c:pt idx="7">
                  <c:v>235</c:v>
                </c:pt>
                <c:pt idx="8">
                  <c:v>400.33333333333337</c:v>
                </c:pt>
                <c:pt idx="9">
                  <c:v>605.66666666666674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B5-457F-A973-215A4B0D6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084311"/>
        <c:axId val="1758034408"/>
      </c:scatterChart>
      <c:valAx>
        <c:axId val="1398084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34408"/>
        <c:crosses val="autoZero"/>
        <c:crossBetween val="midCat"/>
      </c:valAx>
      <c:valAx>
        <c:axId val="175803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084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loga(b)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2.1'!$B$71:$K$71</c:f>
              <c:numCache>
                <c:formatCode>General</c:formatCode>
                <c:ptCount val="10"/>
                <c:pt idx="0">
                  <c:v>-5</c:v>
                </c:pt>
                <c:pt idx="1">
                  <c:v>-3</c:v>
                </c:pt>
                <c:pt idx="2">
                  <c:v>-1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</c:numCache>
            </c:numRef>
          </c:xVal>
          <c:yVal>
            <c:numRef>
              <c:f>'задание 2.1'!$B$72:$K$72</c:f>
              <c:numCache>
                <c:formatCode>General</c:formatCode>
                <c:ptCount val="10"/>
                <c:pt idx="0">
                  <c:v>2.168398015306392</c:v>
                </c:pt>
                <c:pt idx="1">
                  <c:v>2.168398015306392</c:v>
                </c:pt>
                <c:pt idx="2">
                  <c:v>2.168398015306392</c:v>
                </c:pt>
                <c:pt idx="3">
                  <c:v>2.168398015306392</c:v>
                </c:pt>
                <c:pt idx="4">
                  <c:v>2.168398015306392</c:v>
                </c:pt>
                <c:pt idx="5">
                  <c:v>2.168398015306392</c:v>
                </c:pt>
                <c:pt idx="6">
                  <c:v>2.168398015306392</c:v>
                </c:pt>
                <c:pt idx="7">
                  <c:v>2.168398015306392</c:v>
                </c:pt>
                <c:pt idx="8">
                  <c:v>2.168398015306392</c:v>
                </c:pt>
                <c:pt idx="9">
                  <c:v>2.168398015306392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B3-4718-AABD-8305D744C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627895"/>
        <c:axId val="1622461767"/>
      </c:scatterChart>
      <c:valAx>
        <c:axId val="96762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61767"/>
        <c:crosses val="autoZero"/>
        <c:crossBetween val="midCat"/>
      </c:valAx>
      <c:valAx>
        <c:axId val="1622461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27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2.2'!$A$2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2.2'!$B$1:$H$1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2.2'!$B$2:$H$2</c:f>
              <c:numCache>
                <c:formatCode>General</c:formatCode>
                <c:ptCount val="7"/>
                <c:pt idx="0">
                  <c:v>-44</c:v>
                </c:pt>
                <c:pt idx="1">
                  <c:v>-95</c:v>
                </c:pt>
                <c:pt idx="2">
                  <c:v>-128</c:v>
                </c:pt>
                <c:pt idx="3">
                  <c:v>-143</c:v>
                </c:pt>
                <c:pt idx="4">
                  <c:v>-140</c:v>
                </c:pt>
                <c:pt idx="5">
                  <c:v>-119</c:v>
                </c:pt>
                <c:pt idx="6">
                  <c:v>-80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0-4653-824D-63F2DDFD55C4}"/>
            </c:ext>
          </c:extLst>
        </c:ser>
        <c:ser>
          <c:idx val="1"/>
          <c:order val="1"/>
          <c:tx>
            <c:strRef>
              <c:f>'задание 2.2'!$A$3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2.2'!$B$1:$H$1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2.2'!$B$3:$H$3</c:f>
              <c:numCache>
                <c:formatCode>General</c:formatCode>
                <c:ptCount val="7"/>
                <c:pt idx="0">
                  <c:v>64</c:v>
                </c:pt>
                <c:pt idx="1">
                  <c:v>13</c:v>
                </c:pt>
                <c:pt idx="2">
                  <c:v>-20</c:v>
                </c:pt>
                <c:pt idx="3">
                  <c:v>-35</c:v>
                </c:pt>
                <c:pt idx="4">
                  <c:v>-32</c:v>
                </c:pt>
                <c:pt idx="5">
                  <c:v>-11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0-4653-824D-63F2DDFD55C4}"/>
            </c:ext>
          </c:extLst>
        </c:ser>
        <c:ser>
          <c:idx val="2"/>
          <c:order val="2"/>
          <c:tx>
            <c:strRef>
              <c:f>'задание 2.2'!$A$4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2.2'!$B$1:$H$1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2.2'!$B$4:$H$4</c:f>
              <c:numCache>
                <c:formatCode>General</c:formatCode>
                <c:ptCount val="7"/>
                <c:pt idx="0">
                  <c:v>100</c:v>
                </c:pt>
                <c:pt idx="1">
                  <c:v>49</c:v>
                </c:pt>
                <c:pt idx="2">
                  <c:v>16</c:v>
                </c:pt>
                <c:pt idx="3">
                  <c:v>1</c:v>
                </c:pt>
                <c:pt idx="4">
                  <c:v>4</c:v>
                </c:pt>
                <c:pt idx="5">
                  <c:v>25</c:v>
                </c:pt>
                <c:pt idx="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0-4653-824D-63F2DDFD55C4}"/>
            </c:ext>
          </c:extLst>
        </c:ser>
        <c:ser>
          <c:idx val="3"/>
          <c:order val="3"/>
          <c:tx>
            <c:strRef>
              <c:f>'задание 2.2'!$A$5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2.2'!$B$1:$H$1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2.2'!$B$5:$H$5</c:f>
              <c:numCache>
                <c:formatCode>General</c:formatCode>
                <c:ptCount val="7"/>
                <c:pt idx="0">
                  <c:v>64</c:v>
                </c:pt>
                <c:pt idx="1">
                  <c:v>13</c:v>
                </c:pt>
                <c:pt idx="2">
                  <c:v>-20</c:v>
                </c:pt>
                <c:pt idx="3">
                  <c:v>-35</c:v>
                </c:pt>
                <c:pt idx="4">
                  <c:v>-32</c:v>
                </c:pt>
                <c:pt idx="5">
                  <c:v>-11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C0-4653-824D-63F2DDFD55C4}"/>
            </c:ext>
          </c:extLst>
        </c:ser>
        <c:ser>
          <c:idx val="4"/>
          <c:order val="4"/>
          <c:tx>
            <c:strRef>
              <c:f>'задание 2.2'!$A$6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2.2'!$B$1:$H$1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2.2'!$B$6:$H$6</c:f>
              <c:numCache>
                <c:formatCode>General</c:formatCode>
                <c:ptCount val="7"/>
                <c:pt idx="0">
                  <c:v>-44</c:v>
                </c:pt>
                <c:pt idx="1">
                  <c:v>-95</c:v>
                </c:pt>
                <c:pt idx="2">
                  <c:v>-128</c:v>
                </c:pt>
                <c:pt idx="3">
                  <c:v>-143</c:v>
                </c:pt>
                <c:pt idx="4">
                  <c:v>-140</c:v>
                </c:pt>
                <c:pt idx="5">
                  <c:v>-119</c:v>
                </c:pt>
                <c:pt idx="6">
                  <c:v>-80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C0-4653-824D-63F2DDFD55C4}"/>
            </c:ext>
          </c:extLst>
        </c:ser>
        <c:ser>
          <c:idx val="5"/>
          <c:order val="5"/>
          <c:tx>
            <c:strRef>
              <c:f>'задание 2.2'!$A$7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2.2'!$B$1:$H$1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2.2'!$B$7:$H$7</c:f>
              <c:numCache>
                <c:formatCode>General</c:formatCode>
                <c:ptCount val="7"/>
                <c:pt idx="0">
                  <c:v>-224</c:v>
                </c:pt>
                <c:pt idx="1">
                  <c:v>-275</c:v>
                </c:pt>
                <c:pt idx="2">
                  <c:v>-308</c:v>
                </c:pt>
                <c:pt idx="3">
                  <c:v>-323</c:v>
                </c:pt>
                <c:pt idx="4">
                  <c:v>-320</c:v>
                </c:pt>
                <c:pt idx="5">
                  <c:v>-299</c:v>
                </c:pt>
                <c:pt idx="6">
                  <c:v>-260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C0-4653-824D-63F2DDFD55C4}"/>
            </c:ext>
          </c:extLst>
        </c:ser>
        <c:ser>
          <c:idx val="6"/>
          <c:order val="6"/>
          <c:tx>
            <c:strRef>
              <c:f>'задание 2.2'!$A$8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2.2'!$B$1:$H$1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2.2'!$B$8:$H$8</c:f>
              <c:numCache>
                <c:formatCode>General</c:formatCode>
                <c:ptCount val="7"/>
                <c:pt idx="0">
                  <c:v>-476</c:v>
                </c:pt>
                <c:pt idx="1">
                  <c:v>-527</c:v>
                </c:pt>
                <c:pt idx="2">
                  <c:v>-560</c:v>
                </c:pt>
                <c:pt idx="3">
                  <c:v>-575</c:v>
                </c:pt>
                <c:pt idx="4">
                  <c:v>-572</c:v>
                </c:pt>
                <c:pt idx="5">
                  <c:v>-551</c:v>
                </c:pt>
                <c:pt idx="6">
                  <c:v>-512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C0-4653-824D-63F2DDFD55C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4241951"/>
        <c:axId val="74236543"/>
        <c:axId val="66183935"/>
      </c:surface3DChart>
      <c:catAx>
        <c:axId val="74241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6543"/>
        <c:crosses val="autoZero"/>
        <c:auto val="1"/>
        <c:lblAlgn val="ctr"/>
        <c:lblOffset val="100"/>
        <c:noMultiLvlLbl val="0"/>
      </c:catAx>
      <c:valAx>
        <c:axId val="742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41951"/>
        <c:crosses val="autoZero"/>
        <c:crossBetween val="midCat"/>
      </c:valAx>
      <c:serAx>
        <c:axId val="66183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654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2.2'!$A$25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2.2'!$B$24:$H$24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2.2'!$B$25:$H$25</c:f>
              <c:numCache>
                <c:formatCode>General</c:formatCode>
                <c:ptCount val="7"/>
                <c:pt idx="0">
                  <c:v>-551</c:v>
                </c:pt>
                <c:pt idx="1">
                  <c:v>-563.75</c:v>
                </c:pt>
                <c:pt idx="2">
                  <c:v>-572</c:v>
                </c:pt>
                <c:pt idx="3">
                  <c:v>-575.75</c:v>
                </c:pt>
                <c:pt idx="4">
                  <c:v>-575</c:v>
                </c:pt>
                <c:pt idx="5">
                  <c:v>-569.75</c:v>
                </c:pt>
                <c:pt idx="6">
                  <c:v>-560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5-4AA4-8F15-F26515749667}"/>
            </c:ext>
          </c:extLst>
        </c:ser>
        <c:ser>
          <c:idx val="1"/>
          <c:order val="1"/>
          <c:tx>
            <c:strRef>
              <c:f>'задание 2.2'!$A$26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2.2'!$B$24:$H$24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2.2'!$B$26:$H$26</c:f>
              <c:numCache>
                <c:formatCode>General</c:formatCode>
                <c:ptCount val="7"/>
                <c:pt idx="0">
                  <c:v>-119</c:v>
                </c:pt>
                <c:pt idx="1">
                  <c:v>-131.75</c:v>
                </c:pt>
                <c:pt idx="2">
                  <c:v>-140</c:v>
                </c:pt>
                <c:pt idx="3">
                  <c:v>-143.75</c:v>
                </c:pt>
                <c:pt idx="4">
                  <c:v>-143</c:v>
                </c:pt>
                <c:pt idx="5">
                  <c:v>-137.75</c:v>
                </c:pt>
                <c:pt idx="6">
                  <c:v>-128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25-4AA4-8F15-F26515749667}"/>
            </c:ext>
          </c:extLst>
        </c:ser>
        <c:ser>
          <c:idx val="2"/>
          <c:order val="2"/>
          <c:tx>
            <c:strRef>
              <c:f>'задание 2.2'!$A$27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2.2'!$B$24:$H$24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2.2'!$B$27:$H$27</c:f>
              <c:numCache>
                <c:formatCode>General</c:formatCode>
                <c:ptCount val="7"/>
                <c:pt idx="0">
                  <c:v>25</c:v>
                </c:pt>
                <c:pt idx="1">
                  <c:v>12.25</c:v>
                </c:pt>
                <c:pt idx="2">
                  <c:v>4</c:v>
                </c:pt>
                <c:pt idx="3">
                  <c:v>0.25</c:v>
                </c:pt>
                <c:pt idx="4">
                  <c:v>1</c:v>
                </c:pt>
                <c:pt idx="5">
                  <c:v>6.25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25-4AA4-8F15-F26515749667}"/>
            </c:ext>
          </c:extLst>
        </c:ser>
        <c:ser>
          <c:idx val="3"/>
          <c:order val="3"/>
          <c:tx>
            <c:strRef>
              <c:f>'задание 2.2'!$A$28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2.2'!$B$24:$H$24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2.2'!$B$28:$H$28</c:f>
              <c:numCache>
                <c:formatCode>General</c:formatCode>
                <c:ptCount val="7"/>
                <c:pt idx="0">
                  <c:v>-119</c:v>
                </c:pt>
                <c:pt idx="1">
                  <c:v>-131.75</c:v>
                </c:pt>
                <c:pt idx="2">
                  <c:v>-140</c:v>
                </c:pt>
                <c:pt idx="3">
                  <c:v>-143.75</c:v>
                </c:pt>
                <c:pt idx="4">
                  <c:v>-143</c:v>
                </c:pt>
                <c:pt idx="5">
                  <c:v>-137.75</c:v>
                </c:pt>
                <c:pt idx="6">
                  <c:v>-128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25-4AA4-8F15-F26515749667}"/>
            </c:ext>
          </c:extLst>
        </c:ser>
        <c:ser>
          <c:idx val="4"/>
          <c:order val="4"/>
          <c:tx>
            <c:strRef>
              <c:f>'задание 2.2'!$A$29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2.2'!$B$24:$H$24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2.2'!$B$29:$H$29</c:f>
              <c:numCache>
                <c:formatCode>General</c:formatCode>
                <c:ptCount val="7"/>
                <c:pt idx="0">
                  <c:v>-551</c:v>
                </c:pt>
                <c:pt idx="1">
                  <c:v>-563.75</c:v>
                </c:pt>
                <c:pt idx="2">
                  <c:v>-572</c:v>
                </c:pt>
                <c:pt idx="3">
                  <c:v>-575.75</c:v>
                </c:pt>
                <c:pt idx="4">
                  <c:v>-575</c:v>
                </c:pt>
                <c:pt idx="5">
                  <c:v>-569.75</c:v>
                </c:pt>
                <c:pt idx="6">
                  <c:v>-560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25-4AA4-8F15-F26515749667}"/>
            </c:ext>
          </c:extLst>
        </c:ser>
        <c:ser>
          <c:idx val="5"/>
          <c:order val="5"/>
          <c:tx>
            <c:strRef>
              <c:f>'задание 2.2'!$A$30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2.2'!$B$24:$H$24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2.2'!$B$30:$H$30</c:f>
              <c:numCache>
                <c:formatCode>General</c:formatCode>
                <c:ptCount val="7"/>
                <c:pt idx="0">
                  <c:v>-1271</c:v>
                </c:pt>
                <c:pt idx="1">
                  <c:v>-1283.75</c:v>
                </c:pt>
                <c:pt idx="2">
                  <c:v>-1292</c:v>
                </c:pt>
                <c:pt idx="3">
                  <c:v>-1295.75</c:v>
                </c:pt>
                <c:pt idx="4">
                  <c:v>-1295</c:v>
                </c:pt>
                <c:pt idx="5">
                  <c:v>-1289.75</c:v>
                </c:pt>
                <c:pt idx="6">
                  <c:v>-1280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25-4AA4-8F15-F26515749667}"/>
            </c:ext>
          </c:extLst>
        </c:ser>
        <c:ser>
          <c:idx val="6"/>
          <c:order val="6"/>
          <c:tx>
            <c:strRef>
              <c:f>'задание 2.2'!$A$31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2.2'!$B$24:$H$24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2.2'!$B$31:$H$31</c:f>
              <c:numCache>
                <c:formatCode>General</c:formatCode>
                <c:ptCount val="7"/>
                <c:pt idx="0">
                  <c:v>-2279</c:v>
                </c:pt>
                <c:pt idx="1">
                  <c:v>-2291.75</c:v>
                </c:pt>
                <c:pt idx="2">
                  <c:v>-2300</c:v>
                </c:pt>
                <c:pt idx="3">
                  <c:v>-2303.75</c:v>
                </c:pt>
                <c:pt idx="4">
                  <c:v>-2303</c:v>
                </c:pt>
                <c:pt idx="5">
                  <c:v>-2297.75</c:v>
                </c:pt>
                <c:pt idx="6">
                  <c:v>-2288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25-4AA4-8F15-F2651574966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39227775"/>
        <c:axId val="139229439"/>
        <c:axId val="66181151"/>
      </c:surface3DChart>
      <c:catAx>
        <c:axId val="139227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9439"/>
        <c:crosses val="autoZero"/>
        <c:auto val="1"/>
        <c:lblAlgn val="ctr"/>
        <c:lblOffset val="100"/>
        <c:noMultiLvlLbl val="0"/>
      </c:catAx>
      <c:valAx>
        <c:axId val="1392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7775"/>
        <c:crosses val="autoZero"/>
        <c:crossBetween val="midCat"/>
      </c:valAx>
      <c:serAx>
        <c:axId val="661811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943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2.2'!$A$48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2.2'!$B$47:$H$47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2.2'!$B$48:$H$48</c:f>
              <c:numCache>
                <c:formatCode>General</c:formatCode>
                <c:ptCount val="7"/>
                <c:pt idx="0">
                  <c:v>5.1077097505668936E-3</c:v>
                </c:pt>
                <c:pt idx="1">
                  <c:v>1.5660430839002266E-3</c:v>
                </c:pt>
                <c:pt idx="2">
                  <c:v>-7.2562358276643982E-4</c:v>
                </c:pt>
                <c:pt idx="3">
                  <c:v>-1.7672902494331065E-3</c:v>
                </c:pt>
                <c:pt idx="4">
                  <c:v>-1.5589569160997731E-3</c:v>
                </c:pt>
                <c:pt idx="5">
                  <c:v>-1.0062358276643991E-4</c:v>
                </c:pt>
                <c:pt idx="6">
                  <c:v>2.6077097505668935E-3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E-449C-B110-B020D2E46610}"/>
            </c:ext>
          </c:extLst>
        </c:ser>
        <c:ser>
          <c:idx val="1"/>
          <c:order val="1"/>
          <c:tx>
            <c:strRef>
              <c:f>'задание 2.2'!$A$49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2.2'!$B$47:$H$47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2.2'!$B$49:$H$49</c:f>
              <c:numCache>
                <c:formatCode>General</c:formatCode>
                <c:ptCount val="7"/>
                <c:pt idx="0">
                  <c:v>6.485260770975056E-3</c:v>
                </c:pt>
                <c:pt idx="1">
                  <c:v>2.9435941043083899E-3</c:v>
                </c:pt>
                <c:pt idx="2">
                  <c:v>6.5192743764172338E-4</c:v>
                </c:pt>
                <c:pt idx="3">
                  <c:v>-3.8973922902494327E-4</c:v>
                </c:pt>
                <c:pt idx="4">
                  <c:v>-1.8140589569160995E-4</c:v>
                </c:pt>
                <c:pt idx="5">
                  <c:v>1.2769274376417234E-3</c:v>
                </c:pt>
                <c:pt idx="6">
                  <c:v>3.9852607709750564E-3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E-449C-B110-B020D2E46610}"/>
            </c:ext>
          </c:extLst>
        </c:ser>
        <c:ser>
          <c:idx val="2"/>
          <c:order val="2"/>
          <c:tx>
            <c:strRef>
              <c:f>'задание 2.2'!$A$50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2.2'!$B$47:$H$47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2.2'!$B$50:$H$50</c:f>
              <c:numCache>
                <c:formatCode>General</c:formatCode>
                <c:ptCount val="7"/>
                <c:pt idx="0">
                  <c:v>6.9444444444444441E-3</c:v>
                </c:pt>
                <c:pt idx="1">
                  <c:v>3.4027777777777776E-3</c:v>
                </c:pt>
                <c:pt idx="2">
                  <c:v>1.1111111111111111E-3</c:v>
                </c:pt>
                <c:pt idx="3">
                  <c:v>6.9444444444444444E-5</c:v>
                </c:pt>
                <c:pt idx="4">
                  <c:v>2.7777777777777778E-4</c:v>
                </c:pt>
                <c:pt idx="5">
                  <c:v>1.736111111111111E-3</c:v>
                </c:pt>
                <c:pt idx="6">
                  <c:v>4.4444444444444444E-3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E-449C-B110-B020D2E46610}"/>
            </c:ext>
          </c:extLst>
        </c:ser>
        <c:ser>
          <c:idx val="3"/>
          <c:order val="3"/>
          <c:tx>
            <c:strRef>
              <c:f>'задание 2.2'!$A$51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2.2'!$B$47:$H$47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2.2'!$B$51:$H$51</c:f>
              <c:numCache>
                <c:formatCode>General</c:formatCode>
                <c:ptCount val="7"/>
                <c:pt idx="0">
                  <c:v>6.485260770975056E-3</c:v>
                </c:pt>
                <c:pt idx="1">
                  <c:v>2.9435941043083899E-3</c:v>
                </c:pt>
                <c:pt idx="2">
                  <c:v>6.5192743764172338E-4</c:v>
                </c:pt>
                <c:pt idx="3">
                  <c:v>-3.8973922902494327E-4</c:v>
                </c:pt>
                <c:pt idx="4">
                  <c:v>-1.8140589569160995E-4</c:v>
                </c:pt>
                <c:pt idx="5">
                  <c:v>1.2769274376417234E-3</c:v>
                </c:pt>
                <c:pt idx="6">
                  <c:v>3.9852607709750564E-3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CE-449C-B110-B020D2E46610}"/>
            </c:ext>
          </c:extLst>
        </c:ser>
        <c:ser>
          <c:idx val="4"/>
          <c:order val="4"/>
          <c:tx>
            <c:strRef>
              <c:f>'задание 2.2'!$A$52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2.2'!$B$47:$H$47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2.2'!$B$52:$H$52</c:f>
              <c:numCache>
                <c:formatCode>General</c:formatCode>
                <c:ptCount val="7"/>
                <c:pt idx="0">
                  <c:v>5.1077097505668936E-3</c:v>
                </c:pt>
                <c:pt idx="1">
                  <c:v>1.5660430839002266E-3</c:v>
                </c:pt>
                <c:pt idx="2">
                  <c:v>-7.2562358276643982E-4</c:v>
                </c:pt>
                <c:pt idx="3">
                  <c:v>-1.7672902494331065E-3</c:v>
                </c:pt>
                <c:pt idx="4">
                  <c:v>-1.5589569160997731E-3</c:v>
                </c:pt>
                <c:pt idx="5">
                  <c:v>-1.0062358276643991E-4</c:v>
                </c:pt>
                <c:pt idx="6">
                  <c:v>2.6077097505668935E-3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CE-449C-B110-B020D2E46610}"/>
            </c:ext>
          </c:extLst>
        </c:ser>
        <c:ser>
          <c:idx val="5"/>
          <c:order val="5"/>
          <c:tx>
            <c:strRef>
              <c:f>'задание 2.2'!$A$53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2.2'!$B$47:$H$47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2.2'!$B$53:$H$53</c:f>
              <c:numCache>
                <c:formatCode>General</c:formatCode>
                <c:ptCount val="7"/>
                <c:pt idx="0">
                  <c:v>2.8117913832199542E-3</c:v>
                </c:pt>
                <c:pt idx="1">
                  <c:v>-7.2987528344671234E-4</c:v>
                </c:pt>
                <c:pt idx="2">
                  <c:v>-3.0215419501133786E-3</c:v>
                </c:pt>
                <c:pt idx="3">
                  <c:v>-4.0632086167800459E-3</c:v>
                </c:pt>
                <c:pt idx="4">
                  <c:v>-3.8548752834467121E-3</c:v>
                </c:pt>
                <c:pt idx="5">
                  <c:v>-2.3965419501133789E-3</c:v>
                </c:pt>
                <c:pt idx="6">
                  <c:v>3.1179138321995453E-4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CE-449C-B110-B020D2E46610}"/>
            </c:ext>
          </c:extLst>
        </c:ser>
        <c:ser>
          <c:idx val="6"/>
          <c:order val="6"/>
          <c:tx>
            <c:strRef>
              <c:f>'задание 2.2'!$A$54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2.2'!$B$47:$H$47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2.2'!$B$54:$H$54</c:f>
              <c:numCache>
                <c:formatCode>General</c:formatCode>
                <c:ptCount val="7"/>
                <c:pt idx="0">
                  <c:v>-4.0249433106575964E-4</c:v>
                </c:pt>
                <c:pt idx="1">
                  <c:v>-3.9441609977324266E-3</c:v>
                </c:pt>
                <c:pt idx="2">
                  <c:v>-6.2358276643990924E-3</c:v>
                </c:pt>
                <c:pt idx="3">
                  <c:v>-7.2774943310657597E-3</c:v>
                </c:pt>
                <c:pt idx="4">
                  <c:v>-7.0691609977324259E-3</c:v>
                </c:pt>
                <c:pt idx="5">
                  <c:v>-5.6108276643990927E-3</c:v>
                </c:pt>
                <c:pt idx="6">
                  <c:v>-2.9024943310657593E-3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CE-449C-B110-B020D2E4661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39464863"/>
        <c:axId val="139470271"/>
        <c:axId val="66179759"/>
      </c:surface3DChart>
      <c:catAx>
        <c:axId val="13946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0271"/>
        <c:crosses val="autoZero"/>
        <c:auto val="1"/>
        <c:lblAlgn val="ctr"/>
        <c:lblOffset val="100"/>
        <c:noMultiLvlLbl val="0"/>
      </c:catAx>
      <c:valAx>
        <c:axId val="13947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64863"/>
        <c:crosses val="autoZero"/>
        <c:crossBetween val="midCat"/>
      </c:valAx>
      <c:serAx>
        <c:axId val="661797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027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2.2'!$A$69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2.2'!$B$68:$H$68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2.2'!$B$69:$H$69</c:f>
              <c:numCache>
                <c:formatCode>General</c:formatCode>
                <c:ptCount val="7"/>
                <c:pt idx="0">
                  <c:v>249424</c:v>
                </c:pt>
                <c:pt idx="1">
                  <c:v>121924</c:v>
                </c:pt>
                <c:pt idx="2">
                  <c:v>39424</c:v>
                </c:pt>
                <c:pt idx="3">
                  <c:v>1924</c:v>
                </c:pt>
                <c:pt idx="4">
                  <c:v>9424</c:v>
                </c:pt>
                <c:pt idx="5">
                  <c:v>61924</c:v>
                </c:pt>
                <c:pt idx="6">
                  <c:v>159424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6-4E10-9DE5-136CB460B5D0}"/>
            </c:ext>
          </c:extLst>
        </c:ser>
        <c:ser>
          <c:idx val="1"/>
          <c:order val="1"/>
          <c:tx>
            <c:strRef>
              <c:f>'задание 2.2'!$A$70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2.2'!$B$68:$H$68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2.2'!$B$70:$H$70</c:f>
              <c:numCache>
                <c:formatCode>General</c:formatCode>
                <c:ptCount val="7"/>
                <c:pt idx="0">
                  <c:v>249856</c:v>
                </c:pt>
                <c:pt idx="1">
                  <c:v>122356</c:v>
                </c:pt>
                <c:pt idx="2">
                  <c:v>39856</c:v>
                </c:pt>
                <c:pt idx="3">
                  <c:v>2356</c:v>
                </c:pt>
                <c:pt idx="4">
                  <c:v>9856</c:v>
                </c:pt>
                <c:pt idx="5">
                  <c:v>62356</c:v>
                </c:pt>
                <c:pt idx="6">
                  <c:v>159856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56-4E10-9DE5-136CB460B5D0}"/>
            </c:ext>
          </c:extLst>
        </c:ser>
        <c:ser>
          <c:idx val="2"/>
          <c:order val="2"/>
          <c:tx>
            <c:strRef>
              <c:f>'задание 2.2'!$A$71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2.2'!$B$68:$H$68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2.2'!$B$71:$H$71</c:f>
              <c:numCache>
                <c:formatCode>General</c:formatCode>
                <c:ptCount val="7"/>
                <c:pt idx="0">
                  <c:v>250000</c:v>
                </c:pt>
                <c:pt idx="1">
                  <c:v>122500</c:v>
                </c:pt>
                <c:pt idx="2">
                  <c:v>40000</c:v>
                </c:pt>
                <c:pt idx="3">
                  <c:v>2500</c:v>
                </c:pt>
                <c:pt idx="4">
                  <c:v>10000</c:v>
                </c:pt>
                <c:pt idx="5">
                  <c:v>62500</c:v>
                </c:pt>
                <c:pt idx="6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56-4E10-9DE5-136CB460B5D0}"/>
            </c:ext>
          </c:extLst>
        </c:ser>
        <c:ser>
          <c:idx val="3"/>
          <c:order val="3"/>
          <c:tx>
            <c:strRef>
              <c:f>'задание 2.2'!$A$72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2.2'!$B$68:$H$68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2.2'!$B$72:$H$72</c:f>
              <c:numCache>
                <c:formatCode>General</c:formatCode>
                <c:ptCount val="7"/>
                <c:pt idx="0">
                  <c:v>249856</c:v>
                </c:pt>
                <c:pt idx="1">
                  <c:v>122356</c:v>
                </c:pt>
                <c:pt idx="2">
                  <c:v>39856</c:v>
                </c:pt>
                <c:pt idx="3">
                  <c:v>2356</c:v>
                </c:pt>
                <c:pt idx="4">
                  <c:v>9856</c:v>
                </c:pt>
                <c:pt idx="5">
                  <c:v>62356</c:v>
                </c:pt>
                <c:pt idx="6">
                  <c:v>159856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56-4E10-9DE5-136CB460B5D0}"/>
            </c:ext>
          </c:extLst>
        </c:ser>
        <c:ser>
          <c:idx val="4"/>
          <c:order val="4"/>
          <c:tx>
            <c:strRef>
              <c:f>'задание 2.2'!$A$73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2.2'!$B$68:$H$68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2.2'!$B$73:$H$73</c:f>
              <c:numCache>
                <c:formatCode>General</c:formatCode>
                <c:ptCount val="7"/>
                <c:pt idx="0">
                  <c:v>249424</c:v>
                </c:pt>
                <c:pt idx="1">
                  <c:v>121924</c:v>
                </c:pt>
                <c:pt idx="2">
                  <c:v>39424</c:v>
                </c:pt>
                <c:pt idx="3">
                  <c:v>1924</c:v>
                </c:pt>
                <c:pt idx="4">
                  <c:v>9424</c:v>
                </c:pt>
                <c:pt idx="5">
                  <c:v>61924</c:v>
                </c:pt>
                <c:pt idx="6">
                  <c:v>159424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56-4E10-9DE5-136CB460B5D0}"/>
            </c:ext>
          </c:extLst>
        </c:ser>
        <c:ser>
          <c:idx val="5"/>
          <c:order val="5"/>
          <c:tx>
            <c:strRef>
              <c:f>'задание 2.2'!$A$74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2.2'!$B$68:$H$68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2.2'!$B$74:$H$74</c:f>
              <c:numCache>
                <c:formatCode>General</c:formatCode>
                <c:ptCount val="7"/>
                <c:pt idx="0">
                  <c:v>248704</c:v>
                </c:pt>
                <c:pt idx="1">
                  <c:v>121204</c:v>
                </c:pt>
                <c:pt idx="2">
                  <c:v>38704</c:v>
                </c:pt>
                <c:pt idx="3">
                  <c:v>1204</c:v>
                </c:pt>
                <c:pt idx="4">
                  <c:v>8704</c:v>
                </c:pt>
                <c:pt idx="5">
                  <c:v>61204</c:v>
                </c:pt>
                <c:pt idx="6">
                  <c:v>158704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56-4E10-9DE5-136CB460B5D0}"/>
            </c:ext>
          </c:extLst>
        </c:ser>
        <c:ser>
          <c:idx val="6"/>
          <c:order val="6"/>
          <c:tx>
            <c:strRef>
              <c:f>'задание 2.2'!$A$75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2.2'!$B$68:$H$68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2.2'!$B$75:$H$75</c:f>
              <c:numCache>
                <c:formatCode>General</c:formatCode>
                <c:ptCount val="7"/>
                <c:pt idx="0">
                  <c:v>247696</c:v>
                </c:pt>
                <c:pt idx="1">
                  <c:v>120196</c:v>
                </c:pt>
                <c:pt idx="2">
                  <c:v>37696</c:v>
                </c:pt>
                <c:pt idx="3">
                  <c:v>196</c:v>
                </c:pt>
                <c:pt idx="4">
                  <c:v>7696</c:v>
                </c:pt>
                <c:pt idx="5">
                  <c:v>60196</c:v>
                </c:pt>
                <c:pt idx="6">
                  <c:v>157696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56-4E10-9DE5-136CB460B5D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42175743"/>
        <c:axId val="142185727"/>
        <c:axId val="141538911"/>
      </c:surface3DChart>
      <c:catAx>
        <c:axId val="142175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5727"/>
        <c:crosses val="autoZero"/>
        <c:auto val="1"/>
        <c:lblAlgn val="ctr"/>
        <c:lblOffset val="100"/>
        <c:noMultiLvlLbl val="0"/>
      </c:catAx>
      <c:valAx>
        <c:axId val="14218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75743"/>
        <c:crosses val="autoZero"/>
        <c:crossBetween val="midCat"/>
      </c:valAx>
      <c:serAx>
        <c:axId val="1415389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572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2.2'!$A$92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2.2'!$B$91:$H$91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2.2'!$B$92:$H$92</c:f>
              <c:numCache>
                <c:formatCode>General</c:formatCode>
                <c:ptCount val="7"/>
                <c:pt idx="0">
                  <c:v>16</c:v>
                </c:pt>
                <c:pt idx="1">
                  <c:v>3.25</c:v>
                </c:pt>
                <c:pt idx="2">
                  <c:v>-5</c:v>
                </c:pt>
                <c:pt idx="3">
                  <c:v>-8.75</c:v>
                </c:pt>
                <c:pt idx="4">
                  <c:v>-8</c:v>
                </c:pt>
                <c:pt idx="5">
                  <c:v>-2.75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F-4F5A-A4B3-99847B0F6213}"/>
            </c:ext>
          </c:extLst>
        </c:ser>
        <c:ser>
          <c:idx val="1"/>
          <c:order val="1"/>
          <c:tx>
            <c:strRef>
              <c:f>'задание 2.2'!$A$93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2.2'!$B$91:$H$91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2.2'!$B$93:$H$93</c:f>
              <c:numCache>
                <c:formatCode>General</c:formatCode>
                <c:ptCount val="7"/>
                <c:pt idx="0">
                  <c:v>22.75</c:v>
                </c:pt>
                <c:pt idx="1">
                  <c:v>10</c:v>
                </c:pt>
                <c:pt idx="2">
                  <c:v>1.75</c:v>
                </c:pt>
                <c:pt idx="3">
                  <c:v>-2</c:v>
                </c:pt>
                <c:pt idx="4">
                  <c:v>-1.25</c:v>
                </c:pt>
                <c:pt idx="5">
                  <c:v>4</c:v>
                </c:pt>
                <c:pt idx="6">
                  <c:v>13.75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F-4F5A-A4B3-99847B0F6213}"/>
            </c:ext>
          </c:extLst>
        </c:ser>
        <c:ser>
          <c:idx val="2"/>
          <c:order val="2"/>
          <c:tx>
            <c:strRef>
              <c:f>'задание 2.2'!$A$94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2.2'!$B$91:$H$91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2.2'!$B$94:$H$94</c:f>
              <c:numCache>
                <c:formatCode>General</c:formatCode>
                <c:ptCount val="7"/>
                <c:pt idx="0">
                  <c:v>25</c:v>
                </c:pt>
                <c:pt idx="1">
                  <c:v>12.25</c:v>
                </c:pt>
                <c:pt idx="2">
                  <c:v>4</c:v>
                </c:pt>
                <c:pt idx="3">
                  <c:v>0.25</c:v>
                </c:pt>
                <c:pt idx="4">
                  <c:v>1</c:v>
                </c:pt>
                <c:pt idx="5">
                  <c:v>6.25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F-4F5A-A4B3-99847B0F6213}"/>
            </c:ext>
          </c:extLst>
        </c:ser>
        <c:ser>
          <c:idx val="3"/>
          <c:order val="3"/>
          <c:tx>
            <c:strRef>
              <c:f>'задание 2.2'!$A$95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2.2'!$B$91:$H$91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2.2'!$B$95:$H$95</c:f>
              <c:numCache>
                <c:formatCode>General</c:formatCode>
                <c:ptCount val="7"/>
                <c:pt idx="0">
                  <c:v>22.75</c:v>
                </c:pt>
                <c:pt idx="1">
                  <c:v>10</c:v>
                </c:pt>
                <c:pt idx="2">
                  <c:v>1.75</c:v>
                </c:pt>
                <c:pt idx="3">
                  <c:v>-2</c:v>
                </c:pt>
                <c:pt idx="4">
                  <c:v>-1.25</c:v>
                </c:pt>
                <c:pt idx="5">
                  <c:v>4</c:v>
                </c:pt>
                <c:pt idx="6">
                  <c:v>13.75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CF-4F5A-A4B3-99847B0F6213}"/>
            </c:ext>
          </c:extLst>
        </c:ser>
        <c:ser>
          <c:idx val="4"/>
          <c:order val="4"/>
          <c:tx>
            <c:strRef>
              <c:f>'задание 2.2'!$A$96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2.2'!$B$91:$H$91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2.2'!$B$96:$H$96</c:f>
              <c:numCache>
                <c:formatCode>General</c:formatCode>
                <c:ptCount val="7"/>
                <c:pt idx="0">
                  <c:v>16</c:v>
                </c:pt>
                <c:pt idx="1">
                  <c:v>3.25</c:v>
                </c:pt>
                <c:pt idx="2">
                  <c:v>-5</c:v>
                </c:pt>
                <c:pt idx="3">
                  <c:v>-8.75</c:v>
                </c:pt>
                <c:pt idx="4">
                  <c:v>-8</c:v>
                </c:pt>
                <c:pt idx="5">
                  <c:v>-2.75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F-4F5A-A4B3-99847B0F6213}"/>
            </c:ext>
          </c:extLst>
        </c:ser>
        <c:ser>
          <c:idx val="5"/>
          <c:order val="5"/>
          <c:tx>
            <c:strRef>
              <c:f>'задание 2.2'!$A$97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2.2'!$B$91:$H$91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2.2'!$B$97:$H$97</c:f>
              <c:numCache>
                <c:formatCode>General</c:formatCode>
                <c:ptCount val="7"/>
                <c:pt idx="0">
                  <c:v>4.75</c:v>
                </c:pt>
                <c:pt idx="1">
                  <c:v>-8</c:v>
                </c:pt>
                <c:pt idx="2">
                  <c:v>-16.25</c:v>
                </c:pt>
                <c:pt idx="3">
                  <c:v>-20</c:v>
                </c:pt>
                <c:pt idx="4">
                  <c:v>-19.25</c:v>
                </c:pt>
                <c:pt idx="5">
                  <c:v>-14</c:v>
                </c:pt>
                <c:pt idx="6">
                  <c:v>-4.25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CF-4F5A-A4B3-99847B0F6213}"/>
            </c:ext>
          </c:extLst>
        </c:ser>
        <c:ser>
          <c:idx val="6"/>
          <c:order val="6"/>
          <c:tx>
            <c:strRef>
              <c:f>'задание 2.2'!$A$98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2.2'!$B$91:$H$91</c:f>
              <c:numCache>
                <c:formatCode>General</c:formatCode>
                <c:ptCount val="7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</c:numCache>
            </c:numRef>
          </c:cat>
          <c:val>
            <c:numRef>
              <c:f>'задание 2.2'!$B$98:$H$98</c:f>
              <c:numCache>
                <c:formatCode>General</c:formatCode>
                <c:ptCount val="7"/>
                <c:pt idx="0">
                  <c:v>-11</c:v>
                </c:pt>
                <c:pt idx="1">
                  <c:v>-23.75</c:v>
                </c:pt>
                <c:pt idx="2">
                  <c:v>-32</c:v>
                </c:pt>
                <c:pt idx="3">
                  <c:v>-35.75</c:v>
                </c:pt>
                <c:pt idx="4">
                  <c:v>-35</c:v>
                </c:pt>
                <c:pt idx="5">
                  <c:v>-29.75</c:v>
                </c:pt>
                <c:pt idx="6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CF-4F5A-A4B3-99847B0F621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35577663"/>
        <c:axId val="135575999"/>
        <c:axId val="261769791"/>
      </c:surface3DChart>
      <c:catAx>
        <c:axId val="135577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5999"/>
        <c:crosses val="autoZero"/>
        <c:auto val="1"/>
        <c:lblAlgn val="ctr"/>
        <c:lblOffset val="100"/>
        <c:noMultiLvlLbl val="0"/>
      </c:catAx>
      <c:valAx>
        <c:axId val="13557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7663"/>
        <c:crosses val="autoZero"/>
        <c:crossBetween val="midCat"/>
      </c:valAx>
      <c:serAx>
        <c:axId val="2617697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599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6</xdr:row>
      <xdr:rowOff>114300</xdr:rowOff>
    </xdr:from>
    <xdr:to>
      <xdr:col>9</xdr:col>
      <xdr:colOff>542925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FB25DB4-0F51-8403-8257-B453E0144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28</xdr:row>
      <xdr:rowOff>76200</xdr:rowOff>
    </xdr:from>
    <xdr:to>
      <xdr:col>10</xdr:col>
      <xdr:colOff>19050</xdr:colOff>
      <xdr:row>45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939E291-FEDD-021B-FEDC-6B2A10D2D01C}"/>
            </a:ext>
            <a:ext uri="{147F2762-F138-4A5C-976F-8EAC2B608ADB}">
              <a16:predDERef xmlns:a16="http://schemas.microsoft.com/office/drawing/2014/main" pred="{1FB25DB4-0F51-8403-8257-B453E0144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323850</xdr:colOff>
      <xdr:row>52</xdr:row>
      <xdr:rowOff>0</xdr:rowOff>
    </xdr:from>
    <xdr:to>
      <xdr:col>9</xdr:col>
      <xdr:colOff>19050</xdr:colOff>
      <xdr:row>66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F97DFD4-FBFC-E02E-155A-6186A9BE8E53}"/>
            </a:ext>
            <a:ext uri="{147F2762-F138-4A5C-976F-8EAC2B608ADB}">
              <a16:predDERef xmlns:a16="http://schemas.microsoft.com/office/drawing/2014/main" pred="{B939E291-FEDD-021B-FEDC-6B2A10D2D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590550</xdr:colOff>
      <xdr:row>73</xdr:row>
      <xdr:rowOff>133350</xdr:rowOff>
    </xdr:from>
    <xdr:to>
      <xdr:col>8</xdr:col>
      <xdr:colOff>285750</xdr:colOff>
      <xdr:row>88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D1EB132-78D8-5431-A977-F1E7ADE76EA1}"/>
            </a:ext>
            <a:ext uri="{147F2762-F138-4A5C-976F-8EAC2B608ADB}">
              <a16:predDERef xmlns:a16="http://schemas.microsoft.com/office/drawing/2014/main" pred="{BF97DFD4-FBFC-E02E-155A-6186A9BE8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8</xdr:row>
      <xdr:rowOff>19050</xdr:rowOff>
    </xdr:from>
    <xdr:to>
      <xdr:col>7</xdr:col>
      <xdr:colOff>333375</xdr:colOff>
      <xdr:row>19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7DA758-4575-49E4-B1F4-710052A82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276225</xdr:colOff>
      <xdr:row>31</xdr:row>
      <xdr:rowOff>19050</xdr:rowOff>
    </xdr:from>
    <xdr:to>
      <xdr:col>7</xdr:col>
      <xdr:colOff>495300</xdr:colOff>
      <xdr:row>43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5FEFDD3-8353-40E3-9254-943EF65A281E}"/>
            </a:ext>
            <a:ext uri="{147F2762-F138-4A5C-976F-8EAC2B608ADB}">
              <a16:predDERef xmlns:a16="http://schemas.microsoft.com/office/drawing/2014/main" pred="{267DA758-4575-49E4-B1F4-710052A82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342900</xdr:colOff>
      <xdr:row>54</xdr:row>
      <xdr:rowOff>47625</xdr:rowOff>
    </xdr:from>
    <xdr:to>
      <xdr:col>7</xdr:col>
      <xdr:colOff>123825</xdr:colOff>
      <xdr:row>65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505EBEF-719A-4355-8B18-D33E78241158}"/>
            </a:ext>
            <a:ext uri="{147F2762-F138-4A5C-976F-8EAC2B608ADB}">
              <a16:predDERef xmlns:a16="http://schemas.microsoft.com/office/drawing/2014/main" pred="{45FEFDD3-8353-40E3-9254-943EF65A2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495300</xdr:colOff>
      <xdr:row>75</xdr:row>
      <xdr:rowOff>0</xdr:rowOff>
    </xdr:from>
    <xdr:to>
      <xdr:col>7</xdr:col>
      <xdr:colOff>304800</xdr:colOff>
      <xdr:row>86</xdr:row>
      <xdr:rowOff>38100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9984A76-169C-4B2A-A223-28BCDB077209}"/>
            </a:ext>
            <a:ext uri="{147F2762-F138-4A5C-976F-8EAC2B608ADB}">
              <a16:predDERef xmlns:a16="http://schemas.microsoft.com/office/drawing/2014/main" pred="{D505EBEF-719A-4355-8B18-D33E78241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76200</xdr:colOff>
      <xdr:row>98</xdr:row>
      <xdr:rowOff>66675</xdr:rowOff>
    </xdr:from>
    <xdr:to>
      <xdr:col>6</xdr:col>
      <xdr:colOff>523875</xdr:colOff>
      <xdr:row>107</xdr:row>
      <xdr:rowOff>9525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F3EDFE8-7DCD-4B43-8491-E9D4A0178CD1}"/>
            </a:ext>
            <a:ext uri="{147F2762-F138-4A5C-976F-8EAC2B608ADB}">
              <a16:predDERef xmlns:a16="http://schemas.microsoft.com/office/drawing/2014/main" pred="{D9984A76-169C-4B2A-A223-28BCDB077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A8" sqref="A8"/>
    </sheetView>
  </sheetViews>
  <sheetFormatPr defaultRowHeight="14.45"/>
  <cols>
    <col min="1" max="1" width="18.5703125" customWidth="1"/>
    <col min="2" max="2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G1" s="4" t="s">
        <v>4</v>
      </c>
      <c r="H1" s="5">
        <f>ABS(A5-B2)+3</f>
        <v>7</v>
      </c>
    </row>
    <row r="2" spans="1:8">
      <c r="A2" s="2">
        <v>38399</v>
      </c>
      <c r="B2" s="1">
        <v>16</v>
      </c>
      <c r="C2" s="1">
        <v>2</v>
      </c>
      <c r="D2" s="1">
        <v>2005</v>
      </c>
      <c r="G2" s="4" t="s">
        <v>5</v>
      </c>
      <c r="H2" s="5">
        <f>GCD(B2,B5)*A8</f>
        <v>68</v>
      </c>
    </row>
    <row r="3" spans="1:8">
      <c r="A3" s="1"/>
      <c r="B3" s="1"/>
      <c r="C3" s="1"/>
      <c r="D3" s="1"/>
      <c r="G3" s="9"/>
    </row>
    <row r="4" spans="1:8">
      <c r="A4" s="1" t="s">
        <v>6</v>
      </c>
      <c r="B4" s="1" t="s">
        <v>7</v>
      </c>
      <c r="C4" s="1"/>
      <c r="D4" s="1"/>
    </row>
    <row r="5" spans="1:8">
      <c r="A5" s="1">
        <v>12</v>
      </c>
      <c r="B5" s="1">
        <v>22</v>
      </c>
      <c r="C5" s="1"/>
      <c r="D5" s="1"/>
      <c r="G5" t="s">
        <v>8</v>
      </c>
      <c r="H5">
        <f>AVERAGE(B2,C2,A8)</f>
        <v>17.333333333333332</v>
      </c>
    </row>
    <row r="6" spans="1:8">
      <c r="A6" s="1"/>
      <c r="B6" s="1"/>
      <c r="C6" s="1"/>
      <c r="D6" s="1"/>
      <c r="G6" t="s">
        <v>9</v>
      </c>
      <c r="H6">
        <f>AVERAGE(A5,B5, 8)</f>
        <v>14</v>
      </c>
    </row>
    <row r="7" spans="1:8">
      <c r="A7" s="1" t="s">
        <v>10</v>
      </c>
      <c r="B7" s="1"/>
      <c r="C7" s="1"/>
      <c r="D7" s="1"/>
    </row>
    <row r="8" spans="1:8">
      <c r="A8" s="1">
        <v>34</v>
      </c>
      <c r="B8" s="1"/>
      <c r="C8" s="1"/>
      <c r="D8" s="1"/>
    </row>
    <row r="9" spans="1:8">
      <c r="A9" s="1"/>
      <c r="B9" s="1"/>
      <c r="C9" s="1"/>
      <c r="D9" s="1"/>
      <c r="F9" s="3"/>
    </row>
    <row r="51" spans="2:2">
      <c r="B51">
        <f>ABS(-5*B50^2 + 'задание 0'!$H$5*B50 + $F$2)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2545-2BA4-4FC9-B9CA-448786A24111}">
  <dimension ref="A1:K72"/>
  <sheetViews>
    <sheetView workbookViewId="0">
      <selection activeCell="R11" sqref="R11"/>
    </sheetView>
  </sheetViews>
  <sheetFormatPr defaultRowHeight="14.45"/>
  <cols>
    <col min="6" max="6" width="11.140625" customWidth="1"/>
  </cols>
  <sheetData>
    <row r="1" spans="1:11">
      <c r="A1" s="4" t="s">
        <v>11</v>
      </c>
      <c r="B1" s="5">
        <v>34</v>
      </c>
      <c r="E1" s="9"/>
      <c r="F1" s="9"/>
    </row>
    <row r="2" spans="1:11">
      <c r="A2" s="4" t="s">
        <v>12</v>
      </c>
      <c r="B2" s="5">
        <v>16</v>
      </c>
      <c r="E2" s="9"/>
      <c r="F2" s="9"/>
    </row>
    <row r="5" spans="1:11">
      <c r="A5" s="7" t="s">
        <v>13</v>
      </c>
      <c r="B5" s="6">
        <v>-5</v>
      </c>
      <c r="C5" s="6">
        <v>-3</v>
      </c>
      <c r="D5" s="6">
        <v>-1</v>
      </c>
      <c r="E5" s="6">
        <v>1</v>
      </c>
      <c r="F5" s="6">
        <v>3</v>
      </c>
      <c r="G5" s="6">
        <v>5</v>
      </c>
      <c r="H5" s="6">
        <v>7</v>
      </c>
      <c r="I5" s="6">
        <v>9</v>
      </c>
      <c r="J5" s="6">
        <v>11</v>
      </c>
      <c r="K5" s="6">
        <v>13</v>
      </c>
    </row>
    <row r="6" spans="1:11">
      <c r="A6" s="7" t="s">
        <v>14</v>
      </c>
      <c r="B6" s="6">
        <f>ABS(('задание 0'!$B$2 / 'задание 0'!$A$8 + ABS(B5)))</f>
        <v>5.4705882352941178</v>
      </c>
      <c r="C6" s="6">
        <f>ABS(('задание 0'!$B$2 / 'задание 0'!$A$8 + ABS(C5)))</f>
        <v>3.4705882352941178</v>
      </c>
      <c r="D6" s="6">
        <f>ABS(('задание 0'!$B$2 / 'задание 0'!$A$8 + ABS(D5)))</f>
        <v>1.4705882352941178</v>
      </c>
      <c r="E6" s="6">
        <f>ABS(('задание 0'!$B$2 / 'задание 0'!$A$8 + ABS(E5)))</f>
        <v>1.4705882352941178</v>
      </c>
      <c r="F6" s="6">
        <f>ABS(('задание 0'!$B$2 / 'задание 0'!$A$8 + ABS(F5)))</f>
        <v>3.4705882352941178</v>
      </c>
      <c r="G6" s="6">
        <f>ABS(('задание 0'!$B$2 / 'задание 0'!$A$8 + ABS(G5)))</f>
        <v>5.4705882352941178</v>
      </c>
      <c r="H6" s="6">
        <f>ABS(('задание 0'!$B$2 / 'задание 0'!$A$8 + ABS(H5)))</f>
        <v>7.4705882352941178</v>
      </c>
      <c r="I6" s="6">
        <f>ABS(('задание 0'!$B$2 / 'задание 0'!$A$8 + ABS(I5)))</f>
        <v>9.4705882352941178</v>
      </c>
      <c r="J6" s="6">
        <f>ABS(('задание 0'!$B$2 / 'задание 0'!$A$8 + ABS(J5)))</f>
        <v>11.470588235294118</v>
      </c>
      <c r="K6" s="6">
        <f>ABS(('задание 0'!$B$2 / 'задание 0'!$A$8 + ABS(K5)))</f>
        <v>13.470588235294118</v>
      </c>
    </row>
    <row r="27" spans="1:11">
      <c r="A27" s="7" t="s">
        <v>13</v>
      </c>
      <c r="B27" s="6">
        <v>-5</v>
      </c>
      <c r="C27" s="6">
        <v>-3</v>
      </c>
      <c r="D27" s="6">
        <v>-1</v>
      </c>
      <c r="E27" s="6">
        <v>1</v>
      </c>
      <c r="F27" s="6">
        <v>3</v>
      </c>
      <c r="G27" s="6">
        <v>5</v>
      </c>
      <c r="H27" s="6">
        <v>7</v>
      </c>
      <c r="I27" s="6">
        <v>9</v>
      </c>
      <c r="J27" s="6">
        <v>11</v>
      </c>
      <c r="K27" s="6">
        <v>13</v>
      </c>
    </row>
    <row r="28" spans="1:11">
      <c r="A28" s="7" t="s">
        <v>14</v>
      </c>
      <c r="B28" s="6">
        <f>'задание 0'!$B$2 * B27^2 + 'задание 0'!C2*B27 + 'задание 0'!$A$8</f>
        <v>424</v>
      </c>
      <c r="C28" s="6">
        <f>'задание 0'!$B$2 * C27^2 + 'задание 0'!D2*C27 + 'задание 0'!$A$8</f>
        <v>-5837</v>
      </c>
      <c r="D28" s="6">
        <f>'задание 0'!$B$2 * D27^2 + 'задание 0'!E2*D27 + 'задание 0'!$A$8</f>
        <v>50</v>
      </c>
      <c r="E28" s="6">
        <f>'задание 0'!$B$2 * E27^2 + 'задание 0'!F2*E27 + 'задание 0'!$A$8</f>
        <v>50</v>
      </c>
      <c r="F28" s="6" t="e">
        <f>'задание 0'!$B$2 * F27 ^ 2 + 'задание 0'!G2 * F27 + 'задание 0'!$A$8</f>
        <v>#VALUE!</v>
      </c>
      <c r="G28" s="6">
        <f>'задание 0'!$B$2 * G27^2 + 'задание 0'!H2*G27 + 'задание 0'!$A$8</f>
        <v>774</v>
      </c>
      <c r="H28" s="6">
        <f>'задание 0'!$B$2 * H27^2 + 'задание 0'!I2*H27 + 'задание 0'!$A$8</f>
        <v>818</v>
      </c>
      <c r="I28" s="6">
        <f>'задание 0'!$B$2 * I27^2 + 'задание 0'!J2*I27 + 'задание 0'!$A$8</f>
        <v>1330</v>
      </c>
      <c r="J28" s="6">
        <f>'задание 0'!$B$2 * J27^2 + 'задание 0'!K2*J27 + 'задание 0'!$A$8</f>
        <v>1970</v>
      </c>
      <c r="K28" s="6">
        <f>'задание 0'!$B$2 * K27^2 + 'задание 0'!L2*K27 + 'задание 0'!$A$8</f>
        <v>2738</v>
      </c>
    </row>
    <row r="50" spans="1:11">
      <c r="A50" s="7" t="s">
        <v>13</v>
      </c>
      <c r="B50" s="6">
        <v>-5</v>
      </c>
      <c r="C50" s="6">
        <v>-3</v>
      </c>
      <c r="D50" s="6">
        <v>-1</v>
      </c>
      <c r="E50" s="6">
        <v>1</v>
      </c>
      <c r="F50" s="6">
        <v>3</v>
      </c>
      <c r="G50" s="6">
        <v>5</v>
      </c>
      <c r="H50" s="6">
        <v>7</v>
      </c>
      <c r="I50" s="6">
        <v>9</v>
      </c>
      <c r="J50" s="6">
        <v>11</v>
      </c>
      <c r="K50" s="6">
        <v>13</v>
      </c>
    </row>
    <row r="51" spans="1:11">
      <c r="A51" s="7" t="s">
        <v>14</v>
      </c>
      <c r="B51" s="6">
        <f>ABS(-5*B50^2 + 'задание 0'!$H$5*B50 + 'задание 0'!$H$6)</f>
        <v>197.66666666666666</v>
      </c>
      <c r="C51" s="6">
        <f>ABS(-5*C50^2 + 'задание 0'!$H$5*C50 + 'задание 0'!$H$6)</f>
        <v>83</v>
      </c>
      <c r="D51" s="6">
        <f>ABS(-5*D50^2 + 'задание 0'!$H$5*D50 + 'задание 0'!$H$6)</f>
        <v>8.3333333333333321</v>
      </c>
      <c r="E51" s="6">
        <f>ABS(-5*E50^2 + 'задание 0'!$H$5*E50 + 'задание 0'!$H$6)</f>
        <v>26.333333333333332</v>
      </c>
      <c r="F51" s="6">
        <f>ABS(-5*F50^2 + 'задание 0'!$H$5*F50 + 'задание 0'!$H$6)</f>
        <v>21</v>
      </c>
      <c r="G51" s="6">
        <f>ABS(-5*G50^2 + 'задание 0'!$H$5*G50 + 'задание 0'!$H$6)</f>
        <v>24.333333333333343</v>
      </c>
      <c r="H51" s="6">
        <f>ABS(-5*H50^2 + 'задание 0'!$H$5*H50 + 'задание 0'!$H$6)</f>
        <v>109.66666666666667</v>
      </c>
      <c r="I51" s="6">
        <f>ABS(-5*I50^2 + 'задание 0'!$H$5*I50 + 'задание 0'!$H$6)</f>
        <v>235</v>
      </c>
      <c r="J51" s="6">
        <f>ABS(-5*J50^2 + 'задание 0'!$H$5*J50 + 'задание 0'!$H$6)</f>
        <v>400.33333333333337</v>
      </c>
      <c r="K51" s="6">
        <f>ABS(-5*K50^2 + 'задание 0'!$H$5*K50 + 'задание 0'!$H$6)</f>
        <v>605.66666666666674</v>
      </c>
    </row>
    <row r="71" spans="1:11">
      <c r="A71" s="8" t="s">
        <v>13</v>
      </c>
      <c r="B71" s="6">
        <v>-5</v>
      </c>
      <c r="C71" s="6">
        <v>-3</v>
      </c>
      <c r="D71" s="6">
        <v>-1</v>
      </c>
      <c r="E71" s="6">
        <v>1</v>
      </c>
      <c r="F71" s="6">
        <v>3</v>
      </c>
      <c r="G71" s="6">
        <v>5</v>
      </c>
      <c r="H71" s="6">
        <v>7</v>
      </c>
      <c r="I71" s="6">
        <v>9</v>
      </c>
      <c r="J71" s="6">
        <v>11</v>
      </c>
      <c r="K71" s="6">
        <v>13</v>
      </c>
    </row>
    <row r="72" spans="1:11">
      <c r="A72" s="8" t="s">
        <v>14</v>
      </c>
      <c r="B72" s="6">
        <f>LOG('задание 0'!$H$2,'задание 0'!$H$1)</f>
        <v>2.168398015306392</v>
      </c>
      <c r="C72" s="6">
        <f>LOG('задание 0'!$H$2,'задание 0'!$H$1)</f>
        <v>2.168398015306392</v>
      </c>
      <c r="D72" s="6">
        <f>LOG('задание 0'!$H$2,'задание 0'!$H$1)</f>
        <v>2.168398015306392</v>
      </c>
      <c r="E72" s="6">
        <f>LOG('задание 0'!$H$2,'задание 0'!$H$1)</f>
        <v>2.168398015306392</v>
      </c>
      <c r="F72" s="6">
        <f>LOG('задание 0'!$H$2,'задание 0'!$H$1)</f>
        <v>2.168398015306392</v>
      </c>
      <c r="G72" s="6">
        <f>LOG('задание 0'!$H$2,'задание 0'!$H$1)</f>
        <v>2.168398015306392</v>
      </c>
      <c r="H72" s="6">
        <f>LOG('задание 0'!$H$2,'задание 0'!$H$1)</f>
        <v>2.168398015306392</v>
      </c>
      <c r="I72" s="6">
        <f>LOG('задание 0'!$H$2,'задание 0'!$H$1)</f>
        <v>2.168398015306392</v>
      </c>
      <c r="J72" s="6">
        <f>LOG('задание 0'!$H$2,'задание 0'!$H$1)</f>
        <v>2.168398015306392</v>
      </c>
      <c r="K72" s="6">
        <f>LOG('задание 0'!$H$2,'задание 0'!$H$1)</f>
        <v>2.168398015306392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6B69-8F64-4BDD-84C9-2E180ADFC3B6}">
  <dimension ref="A1:K98"/>
  <sheetViews>
    <sheetView tabSelected="1" topLeftCell="A77" workbookViewId="0">
      <selection activeCell="B92" sqref="B92:H98"/>
    </sheetView>
  </sheetViews>
  <sheetFormatPr defaultRowHeight="14.45"/>
  <sheetData>
    <row r="1" spans="1:11">
      <c r="B1" s="8">
        <v>-10</v>
      </c>
      <c r="C1" s="8">
        <v>-7</v>
      </c>
      <c r="D1" s="8">
        <v>-4</v>
      </c>
      <c r="E1" s="8">
        <v>-1</v>
      </c>
      <c r="F1" s="8">
        <v>2</v>
      </c>
      <c r="G1" s="8">
        <v>5</v>
      </c>
      <c r="H1" s="8">
        <v>8</v>
      </c>
      <c r="J1" s="4" t="s">
        <v>15</v>
      </c>
      <c r="K1" s="5">
        <v>1</v>
      </c>
    </row>
    <row r="2" spans="1:11">
      <c r="A2" s="8">
        <v>-12</v>
      </c>
      <c r="B2" s="6">
        <f>(B$1)^2-($A2)^2</f>
        <v>-44</v>
      </c>
      <c r="C2" s="6">
        <f t="shared" ref="C2:H8" si="0">(C$1)^2-($A2)^2</f>
        <v>-95</v>
      </c>
      <c r="D2" s="6">
        <f t="shared" si="0"/>
        <v>-128</v>
      </c>
      <c r="E2" s="6">
        <f t="shared" si="0"/>
        <v>-143</v>
      </c>
      <c r="F2" s="6">
        <f t="shared" si="0"/>
        <v>-140</v>
      </c>
      <c r="G2" s="6">
        <f t="shared" si="0"/>
        <v>-119</v>
      </c>
      <c r="H2" s="6">
        <f t="shared" si="0"/>
        <v>-80</v>
      </c>
      <c r="J2" s="4" t="s">
        <v>16</v>
      </c>
      <c r="K2" s="5">
        <v>1</v>
      </c>
    </row>
    <row r="3" spans="1:11">
      <c r="A3" s="8">
        <v>-6</v>
      </c>
      <c r="B3" s="6">
        <f t="shared" ref="B3:B8" si="1">(B$1)^2-($A3)^2</f>
        <v>64</v>
      </c>
      <c r="C3" s="6">
        <f t="shared" si="0"/>
        <v>13</v>
      </c>
      <c r="D3" s="6">
        <f t="shared" si="0"/>
        <v>-20</v>
      </c>
      <c r="E3" s="6">
        <f t="shared" si="0"/>
        <v>-35</v>
      </c>
      <c r="F3" s="6">
        <f t="shared" si="0"/>
        <v>-32</v>
      </c>
      <c r="G3" s="6">
        <f t="shared" si="0"/>
        <v>-11</v>
      </c>
      <c r="H3" s="6">
        <f t="shared" si="0"/>
        <v>28</v>
      </c>
    </row>
    <row r="4" spans="1:11">
      <c r="A4" s="8">
        <v>0</v>
      </c>
      <c r="B4" s="6">
        <f t="shared" si="1"/>
        <v>100</v>
      </c>
      <c r="C4" s="6">
        <f t="shared" si="0"/>
        <v>49</v>
      </c>
      <c r="D4" s="6">
        <f t="shared" si="0"/>
        <v>16</v>
      </c>
      <c r="E4" s="6">
        <f t="shared" si="0"/>
        <v>1</v>
      </c>
      <c r="F4" s="6">
        <f t="shared" si="0"/>
        <v>4</v>
      </c>
      <c r="G4" s="6">
        <f t="shared" si="0"/>
        <v>25</v>
      </c>
      <c r="H4" s="6">
        <f t="shared" si="0"/>
        <v>64</v>
      </c>
    </row>
    <row r="5" spans="1:11">
      <c r="A5" s="8">
        <v>6</v>
      </c>
      <c r="B5" s="6">
        <f t="shared" si="1"/>
        <v>64</v>
      </c>
      <c r="C5" s="6">
        <f t="shared" si="0"/>
        <v>13</v>
      </c>
      <c r="D5" s="6">
        <f t="shared" si="0"/>
        <v>-20</v>
      </c>
      <c r="E5" s="6">
        <f t="shared" si="0"/>
        <v>-35</v>
      </c>
      <c r="F5" s="6">
        <f t="shared" si="0"/>
        <v>-32</v>
      </c>
      <c r="G5" s="6">
        <f t="shared" si="0"/>
        <v>-11</v>
      </c>
      <c r="H5" s="6">
        <f t="shared" si="0"/>
        <v>28</v>
      </c>
    </row>
    <row r="6" spans="1:11">
      <c r="A6" s="8">
        <v>12</v>
      </c>
      <c r="B6" s="6">
        <f t="shared" si="1"/>
        <v>-44</v>
      </c>
      <c r="C6" s="6">
        <f t="shared" si="0"/>
        <v>-95</v>
      </c>
      <c r="D6" s="6">
        <f t="shared" si="0"/>
        <v>-128</v>
      </c>
      <c r="E6" s="6">
        <f t="shared" si="0"/>
        <v>-143</v>
      </c>
      <c r="F6" s="6">
        <f t="shared" si="0"/>
        <v>-140</v>
      </c>
      <c r="G6" s="6">
        <f t="shared" si="0"/>
        <v>-119</v>
      </c>
      <c r="H6" s="6">
        <f t="shared" si="0"/>
        <v>-80</v>
      </c>
    </row>
    <row r="7" spans="1:11">
      <c r="A7" s="8">
        <v>18</v>
      </c>
      <c r="B7" s="6">
        <f t="shared" si="1"/>
        <v>-224</v>
      </c>
      <c r="C7" s="6">
        <f t="shared" si="0"/>
        <v>-275</v>
      </c>
      <c r="D7" s="6">
        <f t="shared" si="0"/>
        <v>-308</v>
      </c>
      <c r="E7" s="6">
        <f t="shared" si="0"/>
        <v>-323</v>
      </c>
      <c r="F7" s="6">
        <f t="shared" si="0"/>
        <v>-320</v>
      </c>
      <c r="G7" s="6">
        <f t="shared" si="0"/>
        <v>-299</v>
      </c>
      <c r="H7" s="6">
        <f t="shared" si="0"/>
        <v>-260</v>
      </c>
    </row>
    <row r="8" spans="1:11">
      <c r="A8" s="8">
        <v>24</v>
      </c>
      <c r="B8" s="6">
        <f t="shared" si="1"/>
        <v>-476</v>
      </c>
      <c r="C8" s="6">
        <f t="shared" si="0"/>
        <v>-527</v>
      </c>
      <c r="D8" s="6">
        <f t="shared" si="0"/>
        <v>-560</v>
      </c>
      <c r="E8" s="6">
        <f t="shared" si="0"/>
        <v>-575</v>
      </c>
      <c r="F8" s="6">
        <f t="shared" si="0"/>
        <v>-572</v>
      </c>
      <c r="G8" s="6">
        <f t="shared" si="0"/>
        <v>-551</v>
      </c>
      <c r="H8" s="6">
        <f t="shared" si="0"/>
        <v>-512</v>
      </c>
    </row>
    <row r="24" spans="1:11">
      <c r="B24" s="8">
        <v>-10</v>
      </c>
      <c r="C24" s="8">
        <v>-7</v>
      </c>
      <c r="D24" s="8">
        <v>-4</v>
      </c>
      <c r="E24" s="8">
        <v>-1</v>
      </c>
      <c r="F24" s="8">
        <v>2</v>
      </c>
      <c r="G24" s="8">
        <v>5</v>
      </c>
      <c r="H24" s="8">
        <v>8</v>
      </c>
      <c r="J24" s="4" t="s">
        <v>15</v>
      </c>
      <c r="K24" s="5">
        <v>-2</v>
      </c>
    </row>
    <row r="25" spans="1:11">
      <c r="A25" s="8">
        <v>-12</v>
      </c>
      <c r="B25" s="11">
        <f>((B$24)^2 / ($K$24)^2) - (($A25)^2 / ($K$25)^2)</f>
        <v>-551</v>
      </c>
      <c r="C25" s="11">
        <f t="shared" ref="C25:H31" si="2">((C$24)^2 / ($K$24)^2) - (($A25)^2 / ($K$25)^2)</f>
        <v>-563.75</v>
      </c>
      <c r="D25" s="11">
        <f t="shared" si="2"/>
        <v>-572</v>
      </c>
      <c r="E25" s="11">
        <f t="shared" si="2"/>
        <v>-575.75</v>
      </c>
      <c r="F25" s="11">
        <f t="shared" si="2"/>
        <v>-575</v>
      </c>
      <c r="G25" s="11">
        <f t="shared" si="2"/>
        <v>-569.75</v>
      </c>
      <c r="H25" s="11">
        <f t="shared" si="2"/>
        <v>-560</v>
      </c>
      <c r="J25" s="4" t="s">
        <v>16</v>
      </c>
      <c r="K25" s="5">
        <v>-0.5</v>
      </c>
    </row>
    <row r="26" spans="1:11">
      <c r="A26" s="8">
        <v>-6</v>
      </c>
      <c r="B26" s="11">
        <f t="shared" ref="B26:B31" si="3">((B$24)^2 / ($K$24)^2) - (($A26)^2 / ($K$25)^2)</f>
        <v>-119</v>
      </c>
      <c r="C26" s="11">
        <f t="shared" si="2"/>
        <v>-131.75</v>
      </c>
      <c r="D26" s="11">
        <f t="shared" si="2"/>
        <v>-140</v>
      </c>
      <c r="E26" s="11">
        <f t="shared" si="2"/>
        <v>-143.75</v>
      </c>
      <c r="F26" s="11">
        <f t="shared" si="2"/>
        <v>-143</v>
      </c>
      <c r="G26" s="11">
        <f t="shared" si="2"/>
        <v>-137.75</v>
      </c>
      <c r="H26" s="11">
        <f t="shared" si="2"/>
        <v>-128</v>
      </c>
    </row>
    <row r="27" spans="1:11">
      <c r="A27" s="8">
        <v>0</v>
      </c>
      <c r="B27" s="11">
        <f t="shared" si="3"/>
        <v>25</v>
      </c>
      <c r="C27" s="11">
        <f t="shared" si="2"/>
        <v>12.25</v>
      </c>
      <c r="D27" s="11">
        <f t="shared" si="2"/>
        <v>4</v>
      </c>
      <c r="E27" s="11">
        <f t="shared" si="2"/>
        <v>0.25</v>
      </c>
      <c r="F27" s="11">
        <f t="shared" si="2"/>
        <v>1</v>
      </c>
      <c r="G27" s="11">
        <f t="shared" si="2"/>
        <v>6.25</v>
      </c>
      <c r="H27" s="11">
        <f t="shared" si="2"/>
        <v>16</v>
      </c>
    </row>
    <row r="28" spans="1:11">
      <c r="A28" s="8">
        <v>6</v>
      </c>
      <c r="B28" s="11">
        <f t="shared" si="3"/>
        <v>-119</v>
      </c>
      <c r="C28" s="11">
        <f t="shared" si="2"/>
        <v>-131.75</v>
      </c>
      <c r="D28" s="11">
        <f t="shared" si="2"/>
        <v>-140</v>
      </c>
      <c r="E28" s="11">
        <f t="shared" si="2"/>
        <v>-143.75</v>
      </c>
      <c r="F28" s="11">
        <f t="shared" si="2"/>
        <v>-143</v>
      </c>
      <c r="G28" s="11">
        <f t="shared" si="2"/>
        <v>-137.75</v>
      </c>
      <c r="H28" s="11">
        <f t="shared" si="2"/>
        <v>-128</v>
      </c>
    </row>
    <row r="29" spans="1:11">
      <c r="A29" s="8">
        <v>12</v>
      </c>
      <c r="B29" s="11">
        <f t="shared" si="3"/>
        <v>-551</v>
      </c>
      <c r="C29" s="11">
        <f t="shared" si="2"/>
        <v>-563.75</v>
      </c>
      <c r="D29" s="11">
        <f t="shared" si="2"/>
        <v>-572</v>
      </c>
      <c r="E29" s="11">
        <f t="shared" si="2"/>
        <v>-575.75</v>
      </c>
      <c r="F29" s="11">
        <f t="shared" si="2"/>
        <v>-575</v>
      </c>
      <c r="G29" s="11">
        <f t="shared" si="2"/>
        <v>-569.75</v>
      </c>
      <c r="H29" s="11">
        <f t="shared" si="2"/>
        <v>-560</v>
      </c>
    </row>
    <row r="30" spans="1:11">
      <c r="A30" s="8">
        <v>18</v>
      </c>
      <c r="B30" s="11">
        <f t="shared" si="3"/>
        <v>-1271</v>
      </c>
      <c r="C30" s="11">
        <f t="shared" si="2"/>
        <v>-1283.75</v>
      </c>
      <c r="D30" s="11">
        <f t="shared" si="2"/>
        <v>-1292</v>
      </c>
      <c r="E30" s="11">
        <f t="shared" si="2"/>
        <v>-1295.75</v>
      </c>
      <c r="F30" s="11">
        <f t="shared" si="2"/>
        <v>-1295</v>
      </c>
      <c r="G30" s="11">
        <f t="shared" si="2"/>
        <v>-1289.75</v>
      </c>
      <c r="H30" s="11">
        <f t="shared" si="2"/>
        <v>-1280</v>
      </c>
    </row>
    <row r="31" spans="1:11">
      <c r="A31" s="8">
        <v>24</v>
      </c>
      <c r="B31" s="11">
        <f t="shared" si="3"/>
        <v>-2279</v>
      </c>
      <c r="C31" s="11">
        <f t="shared" si="2"/>
        <v>-2291.75</v>
      </c>
      <c r="D31" s="11">
        <f t="shared" si="2"/>
        <v>-2300</v>
      </c>
      <c r="E31" s="11">
        <f t="shared" si="2"/>
        <v>-2303.75</v>
      </c>
      <c r="F31" s="11">
        <f t="shared" si="2"/>
        <v>-2303</v>
      </c>
      <c r="G31" s="11">
        <f t="shared" si="2"/>
        <v>-2297.75</v>
      </c>
      <c r="H31" s="11">
        <f t="shared" si="2"/>
        <v>-2288</v>
      </c>
    </row>
    <row r="47" spans="1:11">
      <c r="B47" s="10">
        <v>-10</v>
      </c>
      <c r="C47" s="10">
        <v>-7</v>
      </c>
      <c r="D47" s="10">
        <v>-4</v>
      </c>
      <c r="E47" s="10">
        <v>-1</v>
      </c>
      <c r="F47" s="10">
        <v>2</v>
      </c>
      <c r="G47" s="10">
        <v>5</v>
      </c>
      <c r="H47" s="10">
        <v>8</v>
      </c>
      <c r="J47" s="4" t="s">
        <v>15</v>
      </c>
      <c r="K47" s="5">
        <v>120</v>
      </c>
    </row>
    <row r="48" spans="1:11">
      <c r="A48" s="10">
        <v>-12</v>
      </c>
      <c r="B48" s="6">
        <f>((B$47)^2 /$K$47^2) - (($A48)^2 / $K$48^2)</f>
        <v>5.1077097505668936E-3</v>
      </c>
      <c r="C48" s="6">
        <f t="shared" ref="C48:H54" si="4">((C$47)^2 /$K$47^2) - (($A48)^2 / $K$48^2)</f>
        <v>1.5660430839002266E-3</v>
      </c>
      <c r="D48" s="6">
        <f t="shared" si="4"/>
        <v>-7.2562358276643982E-4</v>
      </c>
      <c r="E48" s="6">
        <f t="shared" si="4"/>
        <v>-1.7672902494331065E-3</v>
      </c>
      <c r="F48" s="6">
        <f t="shared" si="4"/>
        <v>-1.5589569160997731E-3</v>
      </c>
      <c r="G48" s="6">
        <f t="shared" si="4"/>
        <v>-1.0062358276643991E-4</v>
      </c>
      <c r="H48" s="6">
        <f t="shared" si="4"/>
        <v>2.6077097505668935E-3</v>
      </c>
      <c r="J48" s="4" t="s">
        <v>16</v>
      </c>
      <c r="K48" s="5">
        <v>280</v>
      </c>
    </row>
    <row r="49" spans="1:8">
      <c r="A49" s="10">
        <v>-6</v>
      </c>
      <c r="B49" s="6">
        <f t="shared" ref="B49:B54" si="5">((B$47)^2 /$K$47^2) - (($A49)^2 / $K$48^2)</f>
        <v>6.485260770975056E-3</v>
      </c>
      <c r="C49" s="6">
        <f t="shared" si="4"/>
        <v>2.9435941043083899E-3</v>
      </c>
      <c r="D49" s="6">
        <f t="shared" si="4"/>
        <v>6.5192743764172338E-4</v>
      </c>
      <c r="E49" s="6">
        <f t="shared" si="4"/>
        <v>-3.8973922902494327E-4</v>
      </c>
      <c r="F49" s="6">
        <f t="shared" si="4"/>
        <v>-1.8140589569160995E-4</v>
      </c>
      <c r="G49" s="6">
        <f t="shared" si="4"/>
        <v>1.2769274376417234E-3</v>
      </c>
      <c r="H49" s="6">
        <f t="shared" si="4"/>
        <v>3.9852607709750564E-3</v>
      </c>
    </row>
    <row r="50" spans="1:8">
      <c r="A50" s="10">
        <v>0</v>
      </c>
      <c r="B50" s="6">
        <f t="shared" si="5"/>
        <v>6.9444444444444441E-3</v>
      </c>
      <c r="C50" s="6">
        <f t="shared" si="4"/>
        <v>3.4027777777777776E-3</v>
      </c>
      <c r="D50" s="6">
        <f t="shared" si="4"/>
        <v>1.1111111111111111E-3</v>
      </c>
      <c r="E50" s="6">
        <f t="shared" si="4"/>
        <v>6.9444444444444444E-5</v>
      </c>
      <c r="F50" s="6">
        <f t="shared" si="4"/>
        <v>2.7777777777777778E-4</v>
      </c>
      <c r="G50" s="6">
        <f t="shared" si="4"/>
        <v>1.736111111111111E-3</v>
      </c>
      <c r="H50" s="6">
        <f t="shared" si="4"/>
        <v>4.4444444444444444E-3</v>
      </c>
    </row>
    <row r="51" spans="1:8">
      <c r="A51" s="10">
        <v>6</v>
      </c>
      <c r="B51" s="6">
        <f t="shared" si="5"/>
        <v>6.485260770975056E-3</v>
      </c>
      <c r="C51" s="6">
        <f t="shared" si="4"/>
        <v>2.9435941043083899E-3</v>
      </c>
      <c r="D51" s="6">
        <f t="shared" si="4"/>
        <v>6.5192743764172338E-4</v>
      </c>
      <c r="E51" s="6">
        <f t="shared" si="4"/>
        <v>-3.8973922902494327E-4</v>
      </c>
      <c r="F51" s="6">
        <f t="shared" si="4"/>
        <v>-1.8140589569160995E-4</v>
      </c>
      <c r="G51" s="6">
        <f t="shared" si="4"/>
        <v>1.2769274376417234E-3</v>
      </c>
      <c r="H51" s="6">
        <f t="shared" si="4"/>
        <v>3.9852607709750564E-3</v>
      </c>
    </row>
    <row r="52" spans="1:8">
      <c r="A52" s="10">
        <v>12</v>
      </c>
      <c r="B52" s="6">
        <f t="shared" si="5"/>
        <v>5.1077097505668936E-3</v>
      </c>
      <c r="C52" s="6">
        <f t="shared" si="4"/>
        <v>1.5660430839002266E-3</v>
      </c>
      <c r="D52" s="6">
        <f t="shared" si="4"/>
        <v>-7.2562358276643982E-4</v>
      </c>
      <c r="E52" s="6">
        <f t="shared" si="4"/>
        <v>-1.7672902494331065E-3</v>
      </c>
      <c r="F52" s="6">
        <f t="shared" si="4"/>
        <v>-1.5589569160997731E-3</v>
      </c>
      <c r="G52" s="6">
        <f t="shared" si="4"/>
        <v>-1.0062358276643991E-4</v>
      </c>
      <c r="H52" s="6">
        <f t="shared" si="4"/>
        <v>2.6077097505668935E-3</v>
      </c>
    </row>
    <row r="53" spans="1:8">
      <c r="A53" s="10">
        <v>18</v>
      </c>
      <c r="B53" s="6">
        <f t="shared" si="5"/>
        <v>2.8117913832199542E-3</v>
      </c>
      <c r="C53" s="6">
        <f t="shared" si="4"/>
        <v>-7.2987528344671234E-4</v>
      </c>
      <c r="D53" s="6">
        <f t="shared" si="4"/>
        <v>-3.0215419501133786E-3</v>
      </c>
      <c r="E53" s="6">
        <f t="shared" si="4"/>
        <v>-4.0632086167800459E-3</v>
      </c>
      <c r="F53" s="6">
        <f t="shared" si="4"/>
        <v>-3.8548752834467121E-3</v>
      </c>
      <c r="G53" s="6">
        <f t="shared" si="4"/>
        <v>-2.3965419501133789E-3</v>
      </c>
      <c r="H53" s="6">
        <f t="shared" si="4"/>
        <v>3.1179138321995453E-4</v>
      </c>
    </row>
    <row r="54" spans="1:8">
      <c r="A54" s="10">
        <v>24</v>
      </c>
      <c r="B54" s="6">
        <f t="shared" si="5"/>
        <v>-4.0249433106575964E-4</v>
      </c>
      <c r="C54" s="6">
        <f t="shared" si="4"/>
        <v>-3.9441609977324266E-3</v>
      </c>
      <c r="D54" s="6">
        <f t="shared" si="4"/>
        <v>-6.2358276643990924E-3</v>
      </c>
      <c r="E54" s="6">
        <f t="shared" si="4"/>
        <v>-7.2774943310657597E-3</v>
      </c>
      <c r="F54" s="6">
        <f t="shared" si="4"/>
        <v>-7.0691609977324259E-3</v>
      </c>
      <c r="G54" s="6">
        <f t="shared" si="4"/>
        <v>-5.6108276643990927E-3</v>
      </c>
      <c r="H54" s="6">
        <f t="shared" si="4"/>
        <v>-2.9024943310657593E-3</v>
      </c>
    </row>
    <row r="68" spans="1:11">
      <c r="B68" s="10">
        <v>-10</v>
      </c>
      <c r="C68" s="10">
        <v>-7</v>
      </c>
      <c r="D68" s="10">
        <v>-4</v>
      </c>
      <c r="E68" s="10">
        <v>-1</v>
      </c>
      <c r="F68" s="10">
        <v>2</v>
      </c>
      <c r="G68" s="10">
        <v>5</v>
      </c>
      <c r="H68" s="10">
        <v>8</v>
      </c>
      <c r="J68" s="4" t="s">
        <v>15</v>
      </c>
      <c r="K68" s="5">
        <v>0.02</v>
      </c>
    </row>
    <row r="69" spans="1:11">
      <c r="A69" s="10">
        <v>-12</v>
      </c>
      <c r="B69" s="6">
        <f>((B$68)^2 /$K$68^2) - (($A69)^2 / $K$69^2)</f>
        <v>249424</v>
      </c>
      <c r="C69" s="6">
        <f t="shared" ref="C69:H75" si="6">((C$68)^2 /$K$68^2) - (($A69)^2 / $K$69^2)</f>
        <v>121924</v>
      </c>
      <c r="D69" s="6">
        <f t="shared" si="6"/>
        <v>39424</v>
      </c>
      <c r="E69" s="6">
        <f t="shared" si="6"/>
        <v>1924</v>
      </c>
      <c r="F69" s="6">
        <f t="shared" si="6"/>
        <v>9424</v>
      </c>
      <c r="G69" s="6">
        <f t="shared" si="6"/>
        <v>61924</v>
      </c>
      <c r="H69" s="6">
        <f t="shared" si="6"/>
        <v>159424</v>
      </c>
      <c r="J69" s="4" t="s">
        <v>16</v>
      </c>
      <c r="K69" s="5">
        <v>0.5</v>
      </c>
    </row>
    <row r="70" spans="1:11">
      <c r="A70" s="10">
        <v>-6</v>
      </c>
      <c r="B70" s="6">
        <f t="shared" ref="B70:B75" si="7">((B$68)^2 /$K$68^2) - (($A70)^2 / $K$69^2)</f>
        <v>249856</v>
      </c>
      <c r="C70" s="6">
        <f t="shared" si="6"/>
        <v>122356</v>
      </c>
      <c r="D70" s="6">
        <f t="shared" si="6"/>
        <v>39856</v>
      </c>
      <c r="E70" s="6">
        <f t="shared" si="6"/>
        <v>2356</v>
      </c>
      <c r="F70" s="6">
        <f t="shared" si="6"/>
        <v>9856</v>
      </c>
      <c r="G70" s="6">
        <f t="shared" si="6"/>
        <v>62356</v>
      </c>
      <c r="H70" s="6">
        <f t="shared" si="6"/>
        <v>159856</v>
      </c>
    </row>
    <row r="71" spans="1:11">
      <c r="A71" s="10">
        <v>0</v>
      </c>
      <c r="B71" s="6">
        <f t="shared" si="7"/>
        <v>250000</v>
      </c>
      <c r="C71" s="6">
        <f t="shared" si="6"/>
        <v>122500</v>
      </c>
      <c r="D71" s="6">
        <f t="shared" si="6"/>
        <v>40000</v>
      </c>
      <c r="E71" s="6">
        <f t="shared" si="6"/>
        <v>2500</v>
      </c>
      <c r="F71" s="6">
        <f t="shared" si="6"/>
        <v>10000</v>
      </c>
      <c r="G71" s="6">
        <f t="shared" si="6"/>
        <v>62500</v>
      </c>
      <c r="H71" s="6">
        <f t="shared" si="6"/>
        <v>160000</v>
      </c>
    </row>
    <row r="72" spans="1:11">
      <c r="A72" s="10">
        <v>6</v>
      </c>
      <c r="B72" s="6">
        <f t="shared" si="7"/>
        <v>249856</v>
      </c>
      <c r="C72" s="6">
        <f t="shared" si="6"/>
        <v>122356</v>
      </c>
      <c r="D72" s="6">
        <f t="shared" si="6"/>
        <v>39856</v>
      </c>
      <c r="E72" s="6">
        <f t="shared" si="6"/>
        <v>2356</v>
      </c>
      <c r="F72" s="6">
        <f t="shared" si="6"/>
        <v>9856</v>
      </c>
      <c r="G72" s="6">
        <f t="shared" si="6"/>
        <v>62356</v>
      </c>
      <c r="H72" s="6">
        <f t="shared" si="6"/>
        <v>159856</v>
      </c>
    </row>
    <row r="73" spans="1:11">
      <c r="A73" s="10">
        <v>12</v>
      </c>
      <c r="B73" s="6">
        <f t="shared" si="7"/>
        <v>249424</v>
      </c>
      <c r="C73" s="6">
        <f t="shared" si="6"/>
        <v>121924</v>
      </c>
      <c r="D73" s="6">
        <f t="shared" si="6"/>
        <v>39424</v>
      </c>
      <c r="E73" s="6">
        <f t="shared" si="6"/>
        <v>1924</v>
      </c>
      <c r="F73" s="6">
        <f t="shared" si="6"/>
        <v>9424</v>
      </c>
      <c r="G73" s="6">
        <f t="shared" si="6"/>
        <v>61924</v>
      </c>
      <c r="H73" s="6">
        <f t="shared" si="6"/>
        <v>159424</v>
      </c>
    </row>
    <row r="74" spans="1:11">
      <c r="A74" s="10">
        <v>18</v>
      </c>
      <c r="B74" s="6">
        <f t="shared" si="7"/>
        <v>248704</v>
      </c>
      <c r="C74" s="6">
        <f t="shared" si="6"/>
        <v>121204</v>
      </c>
      <c r="D74" s="6">
        <f t="shared" si="6"/>
        <v>38704</v>
      </c>
      <c r="E74" s="6">
        <f t="shared" si="6"/>
        <v>1204</v>
      </c>
      <c r="F74" s="6">
        <f t="shared" si="6"/>
        <v>8704</v>
      </c>
      <c r="G74" s="6">
        <f t="shared" si="6"/>
        <v>61204</v>
      </c>
      <c r="H74" s="6">
        <f t="shared" si="6"/>
        <v>158704</v>
      </c>
    </row>
    <row r="75" spans="1:11">
      <c r="A75" s="10">
        <v>24</v>
      </c>
      <c r="B75" s="6">
        <f t="shared" si="7"/>
        <v>247696</v>
      </c>
      <c r="C75" s="6">
        <f t="shared" si="6"/>
        <v>120196</v>
      </c>
      <c r="D75" s="6">
        <f t="shared" si="6"/>
        <v>37696</v>
      </c>
      <c r="E75" s="6">
        <f t="shared" si="6"/>
        <v>196</v>
      </c>
      <c r="F75" s="6">
        <f t="shared" si="6"/>
        <v>7696</v>
      </c>
      <c r="G75" s="6">
        <f t="shared" si="6"/>
        <v>60196</v>
      </c>
      <c r="H75" s="6">
        <f t="shared" si="6"/>
        <v>157696</v>
      </c>
    </row>
    <row r="91" spans="1:11">
      <c r="B91" s="10">
        <v>-10</v>
      </c>
      <c r="C91" s="10">
        <v>-7</v>
      </c>
      <c r="D91" s="10">
        <v>-4</v>
      </c>
      <c r="E91" s="10">
        <v>-1</v>
      </c>
      <c r="F91" s="10">
        <v>2</v>
      </c>
      <c r="G91" s="10">
        <v>5</v>
      </c>
      <c r="H91" s="10">
        <v>8</v>
      </c>
      <c r="J91" s="4" t="s">
        <v>15</v>
      </c>
      <c r="K91" s="5">
        <v>2</v>
      </c>
    </row>
    <row r="92" spans="1:11">
      <c r="A92" s="10">
        <v>-12</v>
      </c>
      <c r="B92" s="11">
        <f>((B$91)^2 /$K$91^2) - (($A92)^2 / $K$92^2)</f>
        <v>16</v>
      </c>
      <c r="C92" s="11">
        <f t="shared" ref="C92:H98" si="8">((C$91)^2 /$K$91^2) - (($A92)^2 / $K$92^2)</f>
        <v>3.25</v>
      </c>
      <c r="D92" s="11">
        <f t="shared" si="8"/>
        <v>-5</v>
      </c>
      <c r="E92" s="11">
        <f t="shared" si="8"/>
        <v>-8.75</v>
      </c>
      <c r="F92" s="11">
        <f t="shared" si="8"/>
        <v>-8</v>
      </c>
      <c r="G92" s="11">
        <f t="shared" si="8"/>
        <v>-2.75</v>
      </c>
      <c r="H92" s="11">
        <f t="shared" si="8"/>
        <v>7</v>
      </c>
      <c r="J92" s="4" t="s">
        <v>16</v>
      </c>
      <c r="K92" s="5">
        <v>4</v>
      </c>
    </row>
    <row r="93" spans="1:11">
      <c r="A93" s="10">
        <v>-6</v>
      </c>
      <c r="B93" s="11">
        <f t="shared" ref="B93:B98" si="9">((B$91)^2 /$K$91^2) - (($A93)^2 / $K$92^2)</f>
        <v>22.75</v>
      </c>
      <c r="C93" s="11">
        <f t="shared" si="8"/>
        <v>10</v>
      </c>
      <c r="D93" s="11">
        <f t="shared" si="8"/>
        <v>1.75</v>
      </c>
      <c r="E93" s="11">
        <f t="shared" si="8"/>
        <v>-2</v>
      </c>
      <c r="F93" s="11">
        <f t="shared" si="8"/>
        <v>-1.25</v>
      </c>
      <c r="G93" s="11">
        <f t="shared" si="8"/>
        <v>4</v>
      </c>
      <c r="H93" s="11">
        <f t="shared" si="8"/>
        <v>13.75</v>
      </c>
    </row>
    <row r="94" spans="1:11">
      <c r="A94" s="10">
        <v>0</v>
      </c>
      <c r="B94" s="11">
        <f t="shared" si="9"/>
        <v>25</v>
      </c>
      <c r="C94" s="11">
        <f t="shared" si="8"/>
        <v>12.25</v>
      </c>
      <c r="D94" s="11">
        <f t="shared" si="8"/>
        <v>4</v>
      </c>
      <c r="E94" s="11">
        <f t="shared" si="8"/>
        <v>0.25</v>
      </c>
      <c r="F94" s="11">
        <f t="shared" si="8"/>
        <v>1</v>
      </c>
      <c r="G94" s="11">
        <f t="shared" si="8"/>
        <v>6.25</v>
      </c>
      <c r="H94" s="11">
        <f t="shared" si="8"/>
        <v>16</v>
      </c>
    </row>
    <row r="95" spans="1:11">
      <c r="A95" s="10">
        <v>6</v>
      </c>
      <c r="B95" s="11">
        <f t="shared" si="9"/>
        <v>22.75</v>
      </c>
      <c r="C95" s="11">
        <f t="shared" si="8"/>
        <v>10</v>
      </c>
      <c r="D95" s="11">
        <f t="shared" si="8"/>
        <v>1.75</v>
      </c>
      <c r="E95" s="11">
        <f t="shared" si="8"/>
        <v>-2</v>
      </c>
      <c r="F95" s="11">
        <f t="shared" si="8"/>
        <v>-1.25</v>
      </c>
      <c r="G95" s="11">
        <f t="shared" si="8"/>
        <v>4</v>
      </c>
      <c r="H95" s="11">
        <f t="shared" si="8"/>
        <v>13.75</v>
      </c>
    </row>
    <row r="96" spans="1:11">
      <c r="A96" s="10">
        <v>12</v>
      </c>
      <c r="B96" s="11">
        <f t="shared" si="9"/>
        <v>16</v>
      </c>
      <c r="C96" s="11">
        <f t="shared" si="8"/>
        <v>3.25</v>
      </c>
      <c r="D96" s="11">
        <f t="shared" si="8"/>
        <v>-5</v>
      </c>
      <c r="E96" s="11">
        <f t="shared" si="8"/>
        <v>-8.75</v>
      </c>
      <c r="F96" s="11">
        <f t="shared" si="8"/>
        <v>-8</v>
      </c>
      <c r="G96" s="11">
        <f t="shared" si="8"/>
        <v>-2.75</v>
      </c>
      <c r="H96" s="11">
        <f t="shared" si="8"/>
        <v>7</v>
      </c>
    </row>
    <row r="97" spans="1:8">
      <c r="A97" s="10">
        <v>18</v>
      </c>
      <c r="B97" s="11">
        <f t="shared" si="9"/>
        <v>4.75</v>
      </c>
      <c r="C97" s="11">
        <f t="shared" si="8"/>
        <v>-8</v>
      </c>
      <c r="D97" s="11">
        <f t="shared" si="8"/>
        <v>-16.25</v>
      </c>
      <c r="E97" s="11">
        <f t="shared" si="8"/>
        <v>-20</v>
      </c>
      <c r="F97" s="11">
        <f t="shared" si="8"/>
        <v>-19.25</v>
      </c>
      <c r="G97" s="11">
        <f t="shared" si="8"/>
        <v>-14</v>
      </c>
      <c r="H97" s="11">
        <f t="shared" si="8"/>
        <v>-4.25</v>
      </c>
    </row>
    <row r="98" spans="1:8">
      <c r="A98" s="10">
        <v>24</v>
      </c>
      <c r="B98" s="11">
        <f t="shared" si="9"/>
        <v>-11</v>
      </c>
      <c r="C98" s="11">
        <f t="shared" si="8"/>
        <v>-23.75</v>
      </c>
      <c r="D98" s="11">
        <f t="shared" si="8"/>
        <v>-32</v>
      </c>
      <c r="E98" s="11">
        <f t="shared" si="8"/>
        <v>-35.75</v>
      </c>
      <c r="F98" s="11">
        <f t="shared" si="8"/>
        <v>-35</v>
      </c>
      <c r="G98" s="11">
        <f t="shared" si="8"/>
        <v>-29.75</v>
      </c>
      <c r="H98" s="11">
        <f t="shared" si="8"/>
        <v>-20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2022-10-14T08:27:04Z</dcterms:created>
  <dcterms:modified xsi:type="dcterms:W3CDTF">2022-10-14T10:40:47Z</dcterms:modified>
  <cp:category/>
  <cp:contentStatus/>
</cp:coreProperties>
</file>
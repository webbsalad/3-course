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11"/>
  <workbookPr defaultThemeVersion="166925"/>
  <xr:revisionPtr revIDLastSave="0" documentId="8_{9988A3FC-10FC-4B1A-9649-BF9F5E82553E}" xr6:coauthVersionLast="47" xr6:coauthVersionMax="47" xr10:uidLastSave="{00000000-0000-0000-0000-000000000000}"/>
  <bookViews>
    <workbookView xWindow="240" yWindow="105" windowWidth="14805" windowHeight="8010" activeTab="5" xr2:uid="{00000000-000D-0000-FFFF-FFFF00000000}"/>
  </bookViews>
  <sheets>
    <sheet name="Задание 1" sheetId="1" r:id="rId1"/>
    <sheet name="задания 2" sheetId="2" r:id="rId2"/>
    <sheet name="задание 3" sheetId="3" r:id="rId3"/>
    <sheet name="Задание 4" sheetId="4" r:id="rId4"/>
    <sheet name="Задание 5" sheetId="5" r:id="rId5"/>
    <sheet name="Задание 6" sheetId="6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6" l="1" a="1"/>
  <c r="F26" i="6"/>
  <c r="D21" i="6" a="1"/>
  <c r="D21" i="6"/>
  <c r="H12" i="6" a="1"/>
  <c r="H12" i="6"/>
  <c r="H3" i="6" a="1"/>
  <c r="H3" i="6"/>
  <c r="A33" i="6" a="1"/>
  <c r="A33" i="6" s="1"/>
  <c r="K33" i="6" s="1" a="1"/>
  <c r="K33" i="6" s="1"/>
  <c r="K33" i="5"/>
  <c r="F26" i="5"/>
  <c r="D21" i="5"/>
  <c r="H12" i="5"/>
  <c r="H3" i="5"/>
  <c r="A33" i="5" a="1"/>
  <c r="A33" i="5"/>
  <c r="D30" i="4" a="1"/>
  <c r="D30" i="4"/>
  <c r="H21" i="4" a="1"/>
  <c r="H21" i="4"/>
  <c r="H12" i="4" a="1"/>
  <c r="H12" i="4"/>
  <c r="D3" i="4" a="1"/>
  <c r="D3" i="4"/>
  <c r="A35" i="4" a="1"/>
  <c r="A35" i="4" s="1"/>
  <c r="H35" i="4" s="1" a="1"/>
  <c r="H35" i="4" s="1"/>
  <c r="O36" i="3" a="1"/>
  <c r="O36" i="3"/>
  <c r="H36" i="3" a="1"/>
  <c r="H36" i="3" s="1"/>
  <c r="A36" i="3" a="1"/>
  <c r="A36" i="3" s="1"/>
  <c r="G31" i="3" a="1"/>
  <c r="G31" i="3"/>
  <c r="L22" i="3" a="1"/>
  <c r="L22" i="3"/>
  <c r="K13" i="3" a="1"/>
  <c r="K13" i="3"/>
  <c r="K4" i="3" a="1"/>
  <c r="K4" i="3" s="1"/>
  <c r="A36" i="2" a="1"/>
  <c r="A36" i="2"/>
  <c r="A24" i="2" a="1"/>
  <c r="A24" i="2"/>
  <c r="A17" i="2" a="1"/>
  <c r="A17" i="2"/>
  <c r="A8" i="2" a="1"/>
  <c r="A8" i="2"/>
  <c r="A3" i="2" a="1"/>
  <c r="A3" i="2"/>
  <c r="I65" i="1"/>
  <c r="H65" i="1"/>
  <c r="K58" i="1"/>
  <c r="L58" i="1"/>
  <c r="M58" i="1"/>
  <c r="N58" i="1"/>
  <c r="K59" i="1"/>
  <c r="L59" i="1"/>
  <c r="M59" i="1"/>
  <c r="N59" i="1"/>
  <c r="K60" i="1"/>
  <c r="L60" i="1"/>
  <c r="M60" i="1"/>
  <c r="N60" i="1"/>
  <c r="L57" i="1"/>
  <c r="M57" i="1"/>
  <c r="N57" i="1"/>
  <c r="K57" i="1"/>
  <c r="K49" i="1"/>
  <c r="L49" i="1"/>
  <c r="M49" i="1"/>
  <c r="N49" i="1"/>
  <c r="O49" i="1"/>
  <c r="K50" i="1"/>
  <c r="L50" i="1"/>
  <c r="M50" i="1"/>
  <c r="N50" i="1"/>
  <c r="O50" i="1"/>
  <c r="K51" i="1"/>
  <c r="L51" i="1"/>
  <c r="M51" i="1"/>
  <c r="N51" i="1"/>
  <c r="O51" i="1"/>
  <c r="K52" i="1"/>
  <c r="L52" i="1"/>
  <c r="M52" i="1"/>
  <c r="N52" i="1"/>
  <c r="O52" i="1"/>
  <c r="L48" i="1"/>
  <c r="M48" i="1"/>
  <c r="N48" i="1"/>
  <c r="O48" i="1"/>
  <c r="K48" i="1"/>
  <c r="H43" i="1"/>
  <c r="H38" i="1"/>
  <c r="I38" i="1"/>
  <c r="I37" i="1"/>
  <c r="H37" i="1"/>
  <c r="N30" i="1"/>
  <c r="M30" i="1"/>
  <c r="J30" i="1"/>
  <c r="I30" i="1"/>
  <c r="J25" i="1"/>
  <c r="G25" i="1"/>
  <c r="S17" i="1"/>
  <c r="T17" i="1"/>
  <c r="U17" i="1"/>
  <c r="V17" i="1"/>
  <c r="W17" i="1"/>
  <c r="S18" i="1"/>
  <c r="T18" i="1"/>
  <c r="U18" i="1"/>
  <c r="V18" i="1"/>
  <c r="W18" i="1"/>
  <c r="S19" i="1"/>
  <c r="T19" i="1"/>
  <c r="U19" i="1"/>
  <c r="V19" i="1"/>
  <c r="W19" i="1"/>
  <c r="S20" i="1"/>
  <c r="T20" i="1"/>
  <c r="U20" i="1"/>
  <c r="V20" i="1"/>
  <c r="W20" i="1"/>
  <c r="T16" i="1"/>
  <c r="U16" i="1"/>
  <c r="V16" i="1"/>
  <c r="W16" i="1"/>
  <c r="S16" i="1"/>
  <c r="M16" i="1"/>
  <c r="P9" i="1"/>
  <c r="Q9" i="1"/>
  <c r="R9" i="1"/>
  <c r="S9" i="1"/>
  <c r="P10" i="1"/>
  <c r="Q10" i="1"/>
  <c r="R10" i="1"/>
  <c r="S10" i="1"/>
  <c r="P11" i="1"/>
  <c r="Q11" i="1"/>
  <c r="R11" i="1"/>
  <c r="S11" i="1"/>
  <c r="Q8" i="1"/>
  <c r="R8" i="1"/>
  <c r="S8" i="1"/>
  <c r="P8" i="1"/>
  <c r="K8" i="1"/>
  <c r="O4" i="1"/>
  <c r="P4" i="1"/>
  <c r="P3" i="1"/>
  <c r="O3" i="1"/>
  <c r="M17" i="1"/>
  <c r="N17" i="1"/>
  <c r="O17" i="1"/>
  <c r="P17" i="1"/>
  <c r="Q17" i="1"/>
  <c r="M18" i="1"/>
  <c r="N18" i="1"/>
  <c r="O18" i="1"/>
  <c r="P18" i="1"/>
  <c r="Q18" i="1"/>
  <c r="M19" i="1"/>
  <c r="N19" i="1"/>
  <c r="O19" i="1"/>
  <c r="P19" i="1"/>
  <c r="Q19" i="1"/>
  <c r="M20" i="1"/>
  <c r="N20" i="1"/>
  <c r="O20" i="1"/>
  <c r="P20" i="1"/>
  <c r="Q20" i="1"/>
  <c r="N16" i="1"/>
  <c r="O16" i="1"/>
  <c r="P16" i="1"/>
  <c r="Q16" i="1"/>
  <c r="K9" i="1"/>
  <c r="L9" i="1"/>
  <c r="M9" i="1"/>
  <c r="N9" i="1"/>
  <c r="K10" i="1"/>
  <c r="L10" i="1"/>
  <c r="M10" i="1"/>
  <c r="N10" i="1"/>
  <c r="K11" i="1"/>
  <c r="L11" i="1"/>
  <c r="M11" i="1"/>
  <c r="N11" i="1"/>
  <c r="L8" i="1"/>
  <c r="M8" i="1"/>
  <c r="N8" i="1"/>
  <c r="K4" i="1"/>
  <c r="L4" i="1"/>
  <c r="L3" i="1"/>
  <c r="K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<sst xmlns="http://schemas.openxmlformats.org/spreadsheetml/2006/main" count="85" uniqueCount="16">
  <si>
    <t>Матрица А</t>
  </si>
  <si>
    <t>Матрица В</t>
  </si>
  <si>
    <t>Матрица D = A + B</t>
  </si>
  <si>
    <t>Матрица N = A - B</t>
  </si>
  <si>
    <t>k</t>
  </si>
  <si>
    <t>Матрица D = A * k</t>
  </si>
  <si>
    <t>Матрица 1 x 1</t>
  </si>
  <si>
    <t>Матрица 5 x 5</t>
  </si>
  <si>
    <t>Матрица 3 x 3</t>
  </si>
  <si>
    <t>Матрица 8 x 8</t>
  </si>
  <si>
    <t>Матрица 56 x 56</t>
  </si>
  <si>
    <t>Матрица B</t>
  </si>
  <si>
    <t>Матрица D = A * B</t>
  </si>
  <si>
    <t>Матрица А(т)</t>
  </si>
  <si>
    <t>Определитель</t>
  </si>
  <si>
    <t>Обратная матрица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</si>
</sst>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\ _₽_-;\-* #,##0.00\ _₽_-;_-* &quot;-&quot;??\ _₽_-;_-@_-"/>
  </numFmts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444444"/>
      <name val="Calibri"/>
      <family val="2"/>
      <charset val="1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EDEDE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C7FC"/>
        <bgColor indexed="64"/>
      </patternFill>
    </fill>
    <fill>
      <patternFill patternType="solid">
        <fgColor rgb="FFF8D6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 applyBorder="1" applyAlignment="1"/>
    <xf numFmtId="0" fontId="1" fillId="6" borderId="0" xfId="0" applyFont="1" applyFill="1" applyBorder="1" applyAlignment="1"/>
    <xf numFmtId="43" fontId="0" fillId="2" borderId="0" xfId="0" applyNumberFormat="1" applyFill="1" applyAlignment="1">
      <alignment horizontal="center"/>
    </xf>
    <xf numFmtId="0" fontId="0" fillId="7" borderId="0" xfId="0" applyFill="1"/>
    <xf numFmtId="0" fontId="0" fillId="8" borderId="0" xfId="0" applyFill="1"/>
    <xf numFmtId="0" fontId="2" fillId="8" borderId="0" xfId="0" quotePrefix="1" applyFont="1" applyFill="1"/>
    <xf numFmtId="0" fontId="3" fillId="4" borderId="0" xfId="0" applyFont="1" applyFill="1"/>
    <xf numFmtId="0" fontId="0" fillId="9" borderId="0" xfId="0" applyFill="1"/>
    <xf numFmtId="0" fontId="2" fillId="4" borderId="0" xfId="0" quotePrefix="1" applyFont="1" applyFill="1"/>
    <xf numFmtId="0" fontId="2" fillId="3" borderId="0" xfId="0" quotePrefix="1" applyFont="1" applyFill="1"/>
    <xf numFmtId="0" fontId="0" fillId="10" borderId="0" xfId="0" applyFill="1"/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F8D6FF"/>
      <color rgb="FFF2C7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5"/>
  <sheetViews>
    <sheetView workbookViewId="0">
      <selection activeCell="G16" sqref="G16:K20"/>
    </sheetView>
  </sheetViews>
  <sheetFormatPr defaultRowHeight="15"/>
  <sheetData>
    <row r="1" spans="1:23">
      <c r="A1" s="1" t="s">
        <v>0</v>
      </c>
      <c r="B1" s="1"/>
      <c r="E1" s="1" t="s">
        <v>1</v>
      </c>
      <c r="F1" s="1"/>
      <c r="K1" s="1" t="s">
        <v>2</v>
      </c>
      <c r="L1" s="1"/>
      <c r="O1" s="2" t="s">
        <v>3</v>
      </c>
      <c r="P1" s="2"/>
    </row>
    <row r="3" spans="1:23">
      <c r="A3" s="3">
        <v>1</v>
      </c>
      <c r="B3" s="3">
        <v>2</v>
      </c>
      <c r="E3" s="4">
        <v>5</v>
      </c>
      <c r="F3" s="4">
        <v>7</v>
      </c>
      <c r="K3" s="9">
        <f>A3+E3</f>
        <v>6</v>
      </c>
      <c r="L3" s="9">
        <f>B3+F3</f>
        <v>9</v>
      </c>
      <c r="O3" s="10">
        <f>A3-E3</f>
        <v>-4</v>
      </c>
      <c r="P3" s="10">
        <f>B3-F3</f>
        <v>-5</v>
      </c>
    </row>
    <row r="4" spans="1:23">
      <c r="A4" s="3">
        <v>3</v>
      </c>
      <c r="B4" s="3">
        <v>4</v>
      </c>
      <c r="E4" s="4">
        <v>12</v>
      </c>
      <c r="F4" s="4">
        <v>6</v>
      </c>
      <c r="K4" s="9">
        <f>A4+E4</f>
        <v>15</v>
      </c>
      <c r="L4" s="9">
        <f>B4+F4</f>
        <v>10</v>
      </c>
      <c r="O4" s="10">
        <f>A4-E4</f>
        <v>-9</v>
      </c>
      <c r="P4" s="10">
        <f>B4-F4</f>
        <v>-2</v>
      </c>
    </row>
    <row r="6" spans="1:23">
      <c r="A6" s="1" t="s">
        <v>0</v>
      </c>
      <c r="B6" s="1"/>
      <c r="F6" s="8" t="s">
        <v>1</v>
      </c>
      <c r="G6" s="8"/>
      <c r="K6" s="1" t="s">
        <v>2</v>
      </c>
      <c r="L6" s="1"/>
      <c r="P6" s="2" t="s">
        <v>3</v>
      </c>
      <c r="Q6" s="2"/>
    </row>
    <row r="8" spans="1:23">
      <c r="A8" s="3">
        <v>0</v>
      </c>
      <c r="B8" s="3">
        <v>1</v>
      </c>
      <c r="C8" s="3">
        <v>2</v>
      </c>
      <c r="D8" s="3">
        <v>1</v>
      </c>
      <c r="F8" s="4">
        <v>12</v>
      </c>
      <c r="G8" s="4">
        <v>7</v>
      </c>
      <c r="H8" s="4">
        <v>8</v>
      </c>
      <c r="I8" s="4">
        <v>1</v>
      </c>
      <c r="K8" s="5">
        <f>A8+F8</f>
        <v>12</v>
      </c>
      <c r="L8" s="5">
        <f>B8+G8</f>
        <v>8</v>
      </c>
      <c r="M8" s="5">
        <f>C8+H8</f>
        <v>10</v>
      </c>
      <c r="N8" s="5">
        <f>D8+I8</f>
        <v>2</v>
      </c>
      <c r="P8" s="11">
        <f>A8-F8</f>
        <v>-12</v>
      </c>
      <c r="Q8" s="11">
        <f t="shared" ref="Q8:S8" si="0">B8-G8</f>
        <v>-6</v>
      </c>
      <c r="R8" s="11">
        <f t="shared" si="0"/>
        <v>-6</v>
      </c>
      <c r="S8" s="11">
        <f t="shared" si="0"/>
        <v>0</v>
      </c>
    </row>
    <row r="9" spans="1:23">
      <c r="A9" s="3">
        <v>4</v>
      </c>
      <c r="B9" s="3">
        <v>5</v>
      </c>
      <c r="C9" s="3">
        <v>6</v>
      </c>
      <c r="D9" s="3">
        <v>2</v>
      </c>
      <c r="F9" s="4">
        <v>6</v>
      </c>
      <c r="G9" s="4">
        <v>9</v>
      </c>
      <c r="H9" s="4">
        <v>8</v>
      </c>
      <c r="I9" s="4">
        <v>0.1</v>
      </c>
      <c r="K9" s="5">
        <f>A9+F9</f>
        <v>10</v>
      </c>
      <c r="L9" s="5">
        <f>B9+G9</f>
        <v>14</v>
      </c>
      <c r="M9" s="5">
        <f>C9+H9</f>
        <v>14</v>
      </c>
      <c r="N9" s="5">
        <f>D9+I9</f>
        <v>2.1</v>
      </c>
      <c r="P9" s="11">
        <f t="shared" ref="P9:P11" si="1">A9-F9</f>
        <v>-2</v>
      </c>
      <c r="Q9" s="11">
        <f t="shared" ref="Q9:Q11" si="2">B9-G9</f>
        <v>-4</v>
      </c>
      <c r="R9" s="11">
        <f t="shared" ref="R9:R11" si="3">C9-H9</f>
        <v>-2</v>
      </c>
      <c r="S9" s="11">
        <f t="shared" ref="S9:S11" si="4">D9-I9</f>
        <v>1.9</v>
      </c>
    </row>
    <row r="10" spans="1:23">
      <c r="A10" s="3">
        <v>7</v>
      </c>
      <c r="B10" s="3">
        <v>89</v>
      </c>
      <c r="C10" s="3">
        <v>26</v>
      </c>
      <c r="D10" s="3">
        <v>1</v>
      </c>
      <c r="F10" s="4">
        <v>1</v>
      </c>
      <c r="G10" s="4">
        <v>7</v>
      </c>
      <c r="H10" s="4">
        <v>81</v>
      </c>
      <c r="I10" s="4">
        <v>1</v>
      </c>
      <c r="K10" s="5">
        <f>A10+F10</f>
        <v>8</v>
      </c>
      <c r="L10" s="5">
        <f>B10+G10</f>
        <v>96</v>
      </c>
      <c r="M10" s="5">
        <f>C10+H10</f>
        <v>107</v>
      </c>
      <c r="N10" s="5">
        <f>D10+I10</f>
        <v>2</v>
      </c>
      <c r="P10" s="11">
        <f t="shared" si="1"/>
        <v>6</v>
      </c>
      <c r="Q10" s="11">
        <f t="shared" si="2"/>
        <v>82</v>
      </c>
      <c r="R10" s="11">
        <f t="shared" si="3"/>
        <v>-55</v>
      </c>
      <c r="S10" s="11">
        <f t="shared" si="4"/>
        <v>0</v>
      </c>
    </row>
    <row r="11" spans="1:23">
      <c r="A11" s="3">
        <v>4</v>
      </c>
      <c r="B11" s="3">
        <v>3</v>
      </c>
      <c r="C11" s="3">
        <v>6</v>
      </c>
      <c r="D11" s="3">
        <v>-2</v>
      </c>
      <c r="F11" s="4">
        <v>2</v>
      </c>
      <c r="G11" s="4">
        <v>54</v>
      </c>
      <c r="H11" s="4">
        <v>7</v>
      </c>
      <c r="I11" s="4">
        <v>9</v>
      </c>
      <c r="K11" s="5">
        <f>A11+F11</f>
        <v>6</v>
      </c>
      <c r="L11" s="5">
        <f>B11+G11</f>
        <v>57</v>
      </c>
      <c r="M11" s="5">
        <f>C11+H11</f>
        <v>13</v>
      </c>
      <c r="N11" s="5">
        <f>D11+I11</f>
        <v>7</v>
      </c>
      <c r="P11" s="11">
        <f t="shared" si="1"/>
        <v>2</v>
      </c>
      <c r="Q11" s="11">
        <f t="shared" si="2"/>
        <v>-51</v>
      </c>
      <c r="R11" s="11">
        <f t="shared" si="3"/>
        <v>-1</v>
      </c>
      <c r="S11" s="11">
        <f t="shared" si="4"/>
        <v>-11</v>
      </c>
    </row>
    <row r="14" spans="1:23">
      <c r="A14" s="6" t="s">
        <v>0</v>
      </c>
      <c r="B14" s="6"/>
      <c r="G14" s="7" t="s">
        <v>1</v>
      </c>
      <c r="H14" s="7"/>
      <c r="M14" s="6" t="s">
        <v>2</v>
      </c>
      <c r="N14" s="6"/>
      <c r="S14" s="7" t="s">
        <v>3</v>
      </c>
      <c r="T14" s="7"/>
    </row>
    <row r="16" spans="1:23">
      <c r="A16" s="3">
        <v>0</v>
      </c>
      <c r="B16" s="3">
        <v>89</v>
      </c>
      <c r="C16" s="3">
        <v>6</v>
      </c>
      <c r="D16" s="3">
        <v>4</v>
      </c>
      <c r="E16" s="3">
        <v>2</v>
      </c>
      <c r="G16" s="4">
        <v>73</v>
      </c>
      <c r="H16" s="4">
        <v>8</v>
      </c>
      <c r="I16" s="4">
        <v>2</v>
      </c>
      <c r="J16" s="4">
        <v>62</v>
      </c>
      <c r="K16" s="4">
        <v>2</v>
      </c>
      <c r="M16" s="9">
        <f>A16+G16</f>
        <v>73</v>
      </c>
      <c r="N16" s="9">
        <f t="shared" ref="N16:Q16" si="5">B16+H16</f>
        <v>97</v>
      </c>
      <c r="O16" s="9">
        <f t="shared" si="5"/>
        <v>8</v>
      </c>
      <c r="P16" s="9">
        <f t="shared" si="5"/>
        <v>66</v>
      </c>
      <c r="Q16" s="9">
        <f t="shared" si="5"/>
        <v>4</v>
      </c>
      <c r="S16" s="11">
        <f>A16-G16</f>
        <v>-73</v>
      </c>
      <c r="T16" s="11">
        <f t="shared" ref="T16:W16" si="6">B16-H16</f>
        <v>81</v>
      </c>
      <c r="U16" s="11">
        <f t="shared" si="6"/>
        <v>4</v>
      </c>
      <c r="V16" s="11">
        <f t="shared" si="6"/>
        <v>-58</v>
      </c>
      <c r="W16" s="11">
        <f t="shared" si="6"/>
        <v>0</v>
      </c>
    </row>
    <row r="17" spans="1:23">
      <c r="A17" s="3">
        <v>26</v>
      </c>
      <c r="B17" s="3">
        <v>738</v>
      </c>
      <c r="C17" s="3">
        <v>28</v>
      </c>
      <c r="D17" s="3">
        <v>12</v>
      </c>
      <c r="E17" s="3">
        <v>9</v>
      </c>
      <c r="G17" s="4">
        <v>4</v>
      </c>
      <c r="H17" s="4">
        <v>8</v>
      </c>
      <c r="I17" s="4">
        <v>3</v>
      </c>
      <c r="J17" s="4">
        <v>4</v>
      </c>
      <c r="K17" s="4">
        <v>5</v>
      </c>
      <c r="M17" s="9">
        <f t="shared" ref="M17:M20" si="7">A17+G17</f>
        <v>30</v>
      </c>
      <c r="N17" s="9">
        <f t="shared" ref="N17:N20" si="8">B17+H17</f>
        <v>746</v>
      </c>
      <c r="O17" s="9">
        <f t="shared" ref="O17:O20" si="9">C17+I17</f>
        <v>31</v>
      </c>
      <c r="P17" s="9">
        <f t="shared" ref="P17:P20" si="10">D17+J17</f>
        <v>16</v>
      </c>
      <c r="Q17" s="9">
        <f t="shared" ref="Q17:Q20" si="11">E17+K17</f>
        <v>14</v>
      </c>
      <c r="S17" s="11">
        <f t="shared" ref="S17:S20" si="12">A17-G17</f>
        <v>22</v>
      </c>
      <c r="T17" s="11">
        <f t="shared" ref="T17:T20" si="13">B17-H17</f>
        <v>730</v>
      </c>
      <c r="U17" s="11">
        <f t="shared" ref="U17:U20" si="14">C17-I17</f>
        <v>25</v>
      </c>
      <c r="V17" s="11">
        <f t="shared" ref="V17:V20" si="15">D17-J17</f>
        <v>8</v>
      </c>
      <c r="W17" s="11">
        <f t="shared" ref="W17:W20" si="16">E17-K17</f>
        <v>4</v>
      </c>
    </row>
    <row r="18" spans="1:23">
      <c r="A18" s="3">
        <v>12</v>
      </c>
      <c r="B18" s="3">
        <v>3</v>
      </c>
      <c r="C18" s="3">
        <v>71</v>
      </c>
      <c r="D18" s="3">
        <v>2</v>
      </c>
      <c r="E18" s="3">
        <v>8</v>
      </c>
      <c r="G18" s="4">
        <v>23</v>
      </c>
      <c r="H18" s="4">
        <v>37</v>
      </c>
      <c r="I18" s="4">
        <v>8</v>
      </c>
      <c r="J18" s="4">
        <v>2</v>
      </c>
      <c r="K18" s="4">
        <v>9</v>
      </c>
      <c r="M18" s="9">
        <f t="shared" si="7"/>
        <v>35</v>
      </c>
      <c r="N18" s="9">
        <f t="shared" si="8"/>
        <v>40</v>
      </c>
      <c r="O18" s="9">
        <f t="shared" si="9"/>
        <v>79</v>
      </c>
      <c r="P18" s="9">
        <f t="shared" si="10"/>
        <v>4</v>
      </c>
      <c r="Q18" s="9">
        <f t="shared" si="11"/>
        <v>17</v>
      </c>
      <c r="S18" s="11">
        <f t="shared" si="12"/>
        <v>-11</v>
      </c>
      <c r="T18" s="11">
        <f t="shared" si="13"/>
        <v>-34</v>
      </c>
      <c r="U18" s="11">
        <f t="shared" si="14"/>
        <v>63</v>
      </c>
      <c r="V18" s="11">
        <f t="shared" si="15"/>
        <v>0</v>
      </c>
      <c r="W18" s="11">
        <f t="shared" si="16"/>
        <v>-1</v>
      </c>
    </row>
    <row r="19" spans="1:23">
      <c r="A19" s="3">
        <v>9</v>
      </c>
      <c r="B19" s="3">
        <v>83</v>
      </c>
      <c r="C19" s="3">
        <v>26</v>
      </c>
      <c r="D19" s="3">
        <v>1</v>
      </c>
      <c r="E19" s="3">
        <v>3</v>
      </c>
      <c r="G19" s="4">
        <v>2</v>
      </c>
      <c r="H19" s="4">
        <v>3</v>
      </c>
      <c r="I19" s="4">
        <v>5</v>
      </c>
      <c r="J19" s="4">
        <v>7</v>
      </c>
      <c r="K19" s="4">
        <v>27</v>
      </c>
      <c r="M19" s="9">
        <f t="shared" si="7"/>
        <v>11</v>
      </c>
      <c r="N19" s="9">
        <f t="shared" si="8"/>
        <v>86</v>
      </c>
      <c r="O19" s="9">
        <f t="shared" si="9"/>
        <v>31</v>
      </c>
      <c r="P19" s="9">
        <f t="shared" si="10"/>
        <v>8</v>
      </c>
      <c r="Q19" s="9">
        <f t="shared" si="11"/>
        <v>30</v>
      </c>
      <c r="S19" s="11">
        <f t="shared" si="12"/>
        <v>7</v>
      </c>
      <c r="T19" s="11">
        <f t="shared" si="13"/>
        <v>80</v>
      </c>
      <c r="U19" s="11">
        <f t="shared" si="14"/>
        <v>21</v>
      </c>
      <c r="V19" s="11">
        <f t="shared" si="15"/>
        <v>-6</v>
      </c>
      <c r="W19" s="11">
        <f t="shared" si="16"/>
        <v>-24</v>
      </c>
    </row>
    <row r="20" spans="1:23">
      <c r="A20" s="3">
        <v>8</v>
      </c>
      <c r="B20" s="3">
        <v>72</v>
      </c>
      <c r="C20" s="3">
        <v>6</v>
      </c>
      <c r="D20" s="3">
        <v>29</v>
      </c>
      <c r="E20" s="3">
        <v>2</v>
      </c>
      <c r="G20" s="4">
        <v>0</v>
      </c>
      <c r="H20" s="4">
        <v>633</v>
      </c>
      <c r="I20" s="4">
        <v>2</v>
      </c>
      <c r="J20" s="4">
        <v>2</v>
      </c>
      <c r="K20" s="4">
        <v>1</v>
      </c>
      <c r="M20" s="9">
        <f t="shared" si="7"/>
        <v>8</v>
      </c>
      <c r="N20" s="9">
        <f t="shared" si="8"/>
        <v>705</v>
      </c>
      <c r="O20" s="9">
        <f t="shared" si="9"/>
        <v>8</v>
      </c>
      <c r="P20" s="9">
        <f t="shared" si="10"/>
        <v>31</v>
      </c>
      <c r="Q20" s="9">
        <f t="shared" si="11"/>
        <v>3</v>
      </c>
      <c r="S20" s="11">
        <f t="shared" si="12"/>
        <v>8</v>
      </c>
      <c r="T20" s="11">
        <f t="shared" si="13"/>
        <v>-561</v>
      </c>
      <c r="U20" s="11">
        <f t="shared" si="14"/>
        <v>4</v>
      </c>
      <c r="V20" s="11">
        <f t="shared" si="15"/>
        <v>27</v>
      </c>
      <c r="W20" s="11">
        <f t="shared" si="16"/>
        <v>1</v>
      </c>
    </row>
    <row r="23" spans="1:23">
      <c r="A23" s="7" t="s">
        <v>0</v>
      </c>
      <c r="B23" s="7"/>
      <c r="D23" s="7" t="s">
        <v>1</v>
      </c>
      <c r="E23" s="7"/>
      <c r="G23" s="6" t="s">
        <v>2</v>
      </c>
      <c r="H23" s="6"/>
      <c r="J23" s="7" t="s">
        <v>3</v>
      </c>
      <c r="K23" s="7"/>
    </row>
    <row r="25" spans="1:23">
      <c r="A25" s="3">
        <v>3</v>
      </c>
      <c r="D25" s="4">
        <v>1</v>
      </c>
      <c r="G25" s="9">
        <f>A25+D25</f>
        <v>4</v>
      </c>
      <c r="J25" s="10">
        <f>A25-D25</f>
        <v>2</v>
      </c>
    </row>
    <row r="28" spans="1:23">
      <c r="A28" s="6" t="s">
        <v>0</v>
      </c>
      <c r="B28" s="6"/>
      <c r="E28" s="6" t="s">
        <v>1</v>
      </c>
      <c r="F28" s="6"/>
      <c r="I28" s="6" t="s">
        <v>2</v>
      </c>
      <c r="J28" s="6"/>
      <c r="M28" s="7" t="s">
        <v>3</v>
      </c>
      <c r="N28" s="7"/>
    </row>
    <row r="30" spans="1:23">
      <c r="A30" s="3">
        <v>2</v>
      </c>
      <c r="B30" s="3">
        <v>1</v>
      </c>
      <c r="E30" s="4">
        <v>0</v>
      </c>
      <c r="F30" s="4">
        <v>1</v>
      </c>
      <c r="I30" s="9">
        <f>A30+E30</f>
        <v>2</v>
      </c>
      <c r="J30" s="9">
        <f>B30+F30</f>
        <v>2</v>
      </c>
      <c r="M30" s="10">
        <f>A30-E30</f>
        <v>2</v>
      </c>
      <c r="N30" s="10">
        <f>B30-F30</f>
        <v>0</v>
      </c>
    </row>
    <row r="35" spans="1:15">
      <c r="A35" s="6" t="s">
        <v>0</v>
      </c>
      <c r="B35" s="6"/>
      <c r="E35" s="6" t="s">
        <v>4</v>
      </c>
      <c r="F35" s="6"/>
      <c r="H35" s="6" t="s">
        <v>5</v>
      </c>
      <c r="I35" s="6"/>
    </row>
    <row r="37" spans="1:15">
      <c r="A37" s="3">
        <v>1</v>
      </c>
      <c r="B37" s="3">
        <v>2</v>
      </c>
      <c r="E37" s="4">
        <v>2</v>
      </c>
      <c r="H37" s="13">
        <f>A37*$E$37</f>
        <v>2</v>
      </c>
      <c r="I37" s="13">
        <f>B37*$E$37</f>
        <v>4</v>
      </c>
    </row>
    <row r="38" spans="1:15">
      <c r="A38" s="3">
        <v>3</v>
      </c>
      <c r="B38" s="3">
        <v>4</v>
      </c>
      <c r="H38" s="13">
        <f>A38*$E$37</f>
        <v>6</v>
      </c>
      <c r="I38" s="13">
        <f>B38*$E$37</f>
        <v>8</v>
      </c>
    </row>
    <row r="41" spans="1:15">
      <c r="A41" s="6" t="s">
        <v>0</v>
      </c>
      <c r="B41" s="6"/>
      <c r="E41" s="2" t="s">
        <v>4</v>
      </c>
      <c r="H41" s="6" t="s">
        <v>5</v>
      </c>
      <c r="I41" s="6"/>
    </row>
    <row r="43" spans="1:15">
      <c r="A43" s="3">
        <v>3</v>
      </c>
      <c r="E43" s="4">
        <v>0</v>
      </c>
      <c r="H43" s="13">
        <f>A43*E43</f>
        <v>0</v>
      </c>
    </row>
    <row r="46" spans="1:15">
      <c r="A46" s="6" t="s">
        <v>0</v>
      </c>
      <c r="B46" s="6"/>
      <c r="H46" s="2" t="s">
        <v>4</v>
      </c>
      <c r="K46" s="6" t="s">
        <v>5</v>
      </c>
      <c r="L46" s="6"/>
    </row>
    <row r="48" spans="1:15">
      <c r="A48" s="3">
        <v>0</v>
      </c>
      <c r="B48" s="3">
        <v>89</v>
      </c>
      <c r="C48" s="3">
        <v>6</v>
      </c>
      <c r="D48" s="3">
        <v>4</v>
      </c>
      <c r="E48" s="3">
        <v>2</v>
      </c>
      <c r="H48" s="4">
        <v>3</v>
      </c>
      <c r="K48" s="13">
        <f>A48*$H$48</f>
        <v>0</v>
      </c>
      <c r="L48" s="13">
        <f>B48*$H$48</f>
        <v>267</v>
      </c>
      <c r="M48" s="13">
        <f>C48*$H$48</f>
        <v>18</v>
      </c>
      <c r="N48" s="13">
        <f>D48*$H$48</f>
        <v>12</v>
      </c>
      <c r="O48" s="13">
        <f>E48*$H$48</f>
        <v>6</v>
      </c>
    </row>
    <row r="49" spans="1:15">
      <c r="A49" s="3">
        <v>26</v>
      </c>
      <c r="B49" s="3">
        <v>738</v>
      </c>
      <c r="C49" s="3">
        <v>28</v>
      </c>
      <c r="D49" s="3">
        <v>12</v>
      </c>
      <c r="E49" s="3">
        <v>9</v>
      </c>
      <c r="K49" s="13">
        <f>A49*$H$48</f>
        <v>78</v>
      </c>
      <c r="L49" s="13">
        <f>B49*$H$48</f>
        <v>2214</v>
      </c>
      <c r="M49" s="13">
        <f>C49*$H$48</f>
        <v>84</v>
      </c>
      <c r="N49" s="13">
        <f>D49*$H$48</f>
        <v>36</v>
      </c>
      <c r="O49" s="13">
        <f>E49*$H$48</f>
        <v>27</v>
      </c>
    </row>
    <row r="50" spans="1:15">
      <c r="A50" s="3">
        <v>12</v>
      </c>
      <c r="B50" s="3">
        <v>3</v>
      </c>
      <c r="C50" s="3">
        <v>71</v>
      </c>
      <c r="D50" s="3">
        <v>2</v>
      </c>
      <c r="E50" s="3">
        <v>8</v>
      </c>
      <c r="K50" s="13">
        <f>A50*$H$48</f>
        <v>36</v>
      </c>
      <c r="L50" s="13">
        <f>B50*$H$48</f>
        <v>9</v>
      </c>
      <c r="M50" s="13">
        <f>C50*$H$48</f>
        <v>213</v>
      </c>
      <c r="N50" s="13">
        <f>D50*$H$48</f>
        <v>6</v>
      </c>
      <c r="O50" s="13">
        <f>E50*$H$48</f>
        <v>24</v>
      </c>
    </row>
    <row r="51" spans="1:15">
      <c r="A51" s="3">
        <v>9</v>
      </c>
      <c r="B51" s="3">
        <v>83</v>
      </c>
      <c r="C51" s="3">
        <v>26</v>
      </c>
      <c r="D51" s="3">
        <v>1</v>
      </c>
      <c r="E51" s="3">
        <v>3</v>
      </c>
      <c r="K51" s="13">
        <f>A51*$H$48</f>
        <v>27</v>
      </c>
      <c r="L51" s="13">
        <f>B51*$H$48</f>
        <v>249</v>
      </c>
      <c r="M51" s="13">
        <f>C51*$H$48</f>
        <v>78</v>
      </c>
      <c r="N51" s="13">
        <f>D51*$H$48</f>
        <v>3</v>
      </c>
      <c r="O51" s="13">
        <f>E51*$H$48</f>
        <v>9</v>
      </c>
    </row>
    <row r="52" spans="1:15">
      <c r="A52" s="3">
        <v>8</v>
      </c>
      <c r="B52" s="3">
        <v>72</v>
      </c>
      <c r="C52" s="3">
        <v>6</v>
      </c>
      <c r="D52" s="3">
        <v>29</v>
      </c>
      <c r="E52" s="3">
        <v>2</v>
      </c>
      <c r="K52" s="13">
        <f>A52*$H$48</f>
        <v>24</v>
      </c>
      <c r="L52" s="13">
        <f>B52*$H$48</f>
        <v>216</v>
      </c>
      <c r="M52" s="13">
        <f>C52*$H$48</f>
        <v>18</v>
      </c>
      <c r="N52" s="13">
        <f>D52*$H$48</f>
        <v>87</v>
      </c>
      <c r="O52" s="13">
        <f>E52*$H$48</f>
        <v>6</v>
      </c>
    </row>
    <row r="55" spans="1:15">
      <c r="A55" s="6" t="s">
        <v>0</v>
      </c>
      <c r="B55" s="6"/>
      <c r="H55" s="2" t="s">
        <v>4</v>
      </c>
      <c r="K55" s="6" t="s">
        <v>5</v>
      </c>
      <c r="L55" s="6"/>
    </row>
    <row r="57" spans="1:15">
      <c r="A57" s="3">
        <v>12</v>
      </c>
      <c r="B57" s="3">
        <v>7</v>
      </c>
      <c r="C57" s="3">
        <v>8</v>
      </c>
      <c r="D57" s="3">
        <v>1</v>
      </c>
      <c r="H57" s="12">
        <v>0</v>
      </c>
      <c r="K57" s="13">
        <f>A57*$H$57</f>
        <v>0</v>
      </c>
      <c r="L57" s="13">
        <f>B57*$H$57</f>
        <v>0</v>
      </c>
      <c r="M57" s="13">
        <f>C57*$H$57</f>
        <v>0</v>
      </c>
      <c r="N57" s="13">
        <f>D57*$H$57</f>
        <v>0</v>
      </c>
    </row>
    <row r="58" spans="1:15">
      <c r="A58" s="3">
        <v>6</v>
      </c>
      <c r="B58" s="3">
        <v>9</v>
      </c>
      <c r="C58" s="3">
        <v>8</v>
      </c>
      <c r="D58" s="3">
        <v>0.1</v>
      </c>
      <c r="K58" s="13">
        <f>A58*$H$57</f>
        <v>0</v>
      </c>
      <c r="L58" s="13">
        <f>B58*$H$57</f>
        <v>0</v>
      </c>
      <c r="M58" s="13">
        <f>C58*$H$57</f>
        <v>0</v>
      </c>
      <c r="N58" s="13">
        <f>D58*$H$57</f>
        <v>0</v>
      </c>
    </row>
    <row r="59" spans="1:15">
      <c r="A59" s="3">
        <v>1</v>
      </c>
      <c r="B59" s="3">
        <v>7</v>
      </c>
      <c r="C59" s="3">
        <v>81</v>
      </c>
      <c r="D59" s="3">
        <v>1</v>
      </c>
      <c r="K59" s="13">
        <f>A59*$H$57</f>
        <v>0</v>
      </c>
      <c r="L59" s="13">
        <f>B59*$H$57</f>
        <v>0</v>
      </c>
      <c r="M59" s="13">
        <f>C59*$H$57</f>
        <v>0</v>
      </c>
      <c r="N59" s="13">
        <f>D59*$H$57</f>
        <v>0</v>
      </c>
    </row>
    <row r="60" spans="1:15">
      <c r="A60" s="3">
        <v>2</v>
      </c>
      <c r="B60" s="3">
        <v>54</v>
      </c>
      <c r="C60" s="3">
        <v>7</v>
      </c>
      <c r="D60" s="3">
        <v>9</v>
      </c>
      <c r="K60" s="13">
        <f>A60*$H$57</f>
        <v>0</v>
      </c>
      <c r="L60" s="13">
        <f>B60*$H$57</f>
        <v>0</v>
      </c>
      <c r="M60" s="13">
        <f>C60*$H$57</f>
        <v>0</v>
      </c>
      <c r="N60" s="13">
        <f>D60*$H$57</f>
        <v>0</v>
      </c>
    </row>
    <row r="63" spans="1:15">
      <c r="A63" s="6" t="s">
        <v>0</v>
      </c>
      <c r="B63" s="6"/>
      <c r="E63" s="2" t="s">
        <v>4</v>
      </c>
      <c r="H63" s="6" t="s">
        <v>5</v>
      </c>
      <c r="I63" s="6"/>
    </row>
    <row r="65" spans="1:9">
      <c r="A65" s="3">
        <v>1</v>
      </c>
      <c r="B65" s="3">
        <v>2</v>
      </c>
      <c r="E65" s="4">
        <v>1</v>
      </c>
      <c r="H65" s="13">
        <f>A65*$E$65</f>
        <v>1</v>
      </c>
      <c r="I65" s="13">
        <f>B65*$E$65</f>
        <v>2</v>
      </c>
    </row>
  </sheetData>
  <mergeCells count="22">
    <mergeCell ref="H41:I41"/>
    <mergeCell ref="K46:L46"/>
    <mergeCell ref="K55:L55"/>
    <mergeCell ref="H63:I63"/>
    <mergeCell ref="A41:B41"/>
    <mergeCell ref="A46:B46"/>
    <mergeCell ref="A55:B55"/>
    <mergeCell ref="A63:B63"/>
    <mergeCell ref="A28:B28"/>
    <mergeCell ref="E28:F28"/>
    <mergeCell ref="I28:J28"/>
    <mergeCell ref="A35:B35"/>
    <mergeCell ref="E35:F35"/>
    <mergeCell ref="H35:I35"/>
    <mergeCell ref="A14:B14"/>
    <mergeCell ref="M14:N14"/>
    <mergeCell ref="G23:H23"/>
    <mergeCell ref="A1:B1"/>
    <mergeCell ref="E1:F1"/>
    <mergeCell ref="K1:L1"/>
    <mergeCell ref="A6:B6"/>
    <mergeCell ref="K6:L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EBC22-B243-4D1A-BC40-9C637FAC264B}">
  <dimension ref="A1:BD91"/>
  <sheetViews>
    <sheetView workbookViewId="0">
      <selection activeCell="A8" sqref="A8:E12"/>
    </sheetView>
  </sheetViews>
  <sheetFormatPr defaultRowHeight="15"/>
  <sheetData>
    <row r="1" spans="1:5">
      <c r="A1" s="2" t="s">
        <v>6</v>
      </c>
      <c r="B1" s="2"/>
    </row>
    <row r="3" spans="1:5">
      <c r="A3" s="4" cm="1">
        <f t="array" ref="A3">_xlfn.MUNIT(1)</f>
        <v>1</v>
      </c>
    </row>
    <row r="6" spans="1:5">
      <c r="A6" s="2" t="s">
        <v>7</v>
      </c>
      <c r="B6" s="2"/>
    </row>
    <row r="8" spans="1:5">
      <c r="A8" s="14" cm="1">
        <f t="array" ref="A8:E12">_xlfn.MUNIT(5)</f>
        <v>1</v>
      </c>
      <c r="B8" s="4">
        <v>0</v>
      </c>
      <c r="C8" s="4">
        <v>0</v>
      </c>
      <c r="D8" s="4">
        <v>0</v>
      </c>
      <c r="E8" s="4">
        <v>0</v>
      </c>
    </row>
    <row r="9" spans="1:5">
      <c r="A9" s="4">
        <v>0</v>
      </c>
      <c r="B9" s="4">
        <v>1</v>
      </c>
      <c r="C9" s="4">
        <v>0</v>
      </c>
      <c r="D9" s="4">
        <v>0</v>
      </c>
      <c r="E9" s="4">
        <v>0</v>
      </c>
    </row>
    <row r="10" spans="1:5">
      <c r="A10" s="4">
        <v>0</v>
      </c>
      <c r="B10" s="4">
        <v>0</v>
      </c>
      <c r="C10" s="4">
        <v>1</v>
      </c>
      <c r="D10" s="4">
        <v>0</v>
      </c>
      <c r="E10" s="4">
        <v>0</v>
      </c>
    </row>
    <row r="11" spans="1:5">
      <c r="A11" s="4">
        <v>0</v>
      </c>
      <c r="B11" s="4">
        <v>0</v>
      </c>
      <c r="C11" s="4">
        <v>0</v>
      </c>
      <c r="D11" s="4">
        <v>1</v>
      </c>
      <c r="E11" s="4">
        <v>0</v>
      </c>
    </row>
    <row r="12" spans="1:5">
      <c r="A12" s="4">
        <v>0</v>
      </c>
      <c r="B12" s="4">
        <v>0</v>
      </c>
      <c r="C12" s="4">
        <v>0</v>
      </c>
      <c r="D12" s="4">
        <v>0</v>
      </c>
      <c r="E12" s="4">
        <v>1</v>
      </c>
    </row>
    <row r="15" spans="1:5">
      <c r="A15" s="2" t="s">
        <v>8</v>
      </c>
      <c r="B15" s="2"/>
    </row>
    <row r="17" spans="1:8">
      <c r="A17" s="4" cm="1">
        <f t="array" ref="A17:C19">_xlfn.MUNIT(3)</f>
        <v>1</v>
      </c>
      <c r="B17" s="4">
        <v>0</v>
      </c>
      <c r="C17" s="4">
        <v>0</v>
      </c>
    </row>
    <row r="18" spans="1:8">
      <c r="A18" s="4">
        <v>0</v>
      </c>
      <c r="B18" s="4">
        <v>1</v>
      </c>
      <c r="C18" s="4">
        <v>0</v>
      </c>
    </row>
    <row r="19" spans="1:8">
      <c r="A19" s="4">
        <v>0</v>
      </c>
      <c r="B19" s="4">
        <v>0</v>
      </c>
      <c r="C19" s="4">
        <v>1</v>
      </c>
    </row>
    <row r="22" spans="1:8">
      <c r="A22" s="2" t="s">
        <v>9</v>
      </c>
      <c r="B22" s="2"/>
    </row>
    <row r="24" spans="1:8">
      <c r="A24" s="4" cm="1">
        <f t="array" ref="A24:H31">_xlfn.MUNIT(8)</f>
        <v>1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s="4">
        <v>0</v>
      </c>
      <c r="B25" s="4">
        <v>1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s="4">
        <v>0</v>
      </c>
      <c r="B26" s="4">
        <v>0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>
      <c r="A27" s="4">
        <v>0</v>
      </c>
      <c r="B27" s="4">
        <v>0</v>
      </c>
      <c r="C27" s="4">
        <v>0</v>
      </c>
      <c r="D27" s="4">
        <v>1</v>
      </c>
      <c r="E27" s="4">
        <v>0</v>
      </c>
      <c r="F27" s="4">
        <v>0</v>
      </c>
      <c r="G27" s="4">
        <v>0</v>
      </c>
      <c r="H27" s="4">
        <v>0</v>
      </c>
    </row>
    <row r="28" spans="1:8">
      <c r="A28" s="4">
        <v>0</v>
      </c>
      <c r="B28" s="4">
        <v>0</v>
      </c>
      <c r="C28" s="4">
        <v>0</v>
      </c>
      <c r="D28" s="4">
        <v>0</v>
      </c>
      <c r="E28" s="4">
        <v>1</v>
      </c>
      <c r="F28" s="4">
        <v>0</v>
      </c>
      <c r="G28" s="4">
        <v>0</v>
      </c>
      <c r="H28" s="4">
        <v>0</v>
      </c>
    </row>
    <row r="29" spans="1:8">
      <c r="A29" s="4">
        <v>0</v>
      </c>
      <c r="B29" s="4">
        <v>0</v>
      </c>
      <c r="C29" s="4">
        <v>0</v>
      </c>
      <c r="D29" s="4">
        <v>0</v>
      </c>
      <c r="E29" s="4">
        <v>0</v>
      </c>
      <c r="F29" s="4">
        <v>1</v>
      </c>
      <c r="G29" s="4">
        <v>0</v>
      </c>
      <c r="H29" s="4">
        <v>0</v>
      </c>
    </row>
    <row r="30" spans="1:8">
      <c r="A30" s="4">
        <v>0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1</v>
      </c>
      <c r="H30" s="4">
        <v>0</v>
      </c>
    </row>
    <row r="31" spans="1:8">
      <c r="A31" s="4">
        <v>0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1</v>
      </c>
    </row>
    <row r="34" spans="1:56">
      <c r="A34" s="2" t="s">
        <v>10</v>
      </c>
      <c r="B34" s="2"/>
    </row>
    <row r="36" spans="1:56">
      <c r="A36" s="4" cm="1">
        <f t="array" ref="A36:BD91">_xlfn.MUNIT(56)</f>
        <v>1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</row>
    <row r="37" spans="1:56">
      <c r="A37" s="4">
        <v>0</v>
      </c>
      <c r="B37" s="4">
        <v>1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</row>
    <row r="38" spans="1:56">
      <c r="A38" s="4">
        <v>0</v>
      </c>
      <c r="B38" s="4">
        <v>0</v>
      </c>
      <c r="C38" s="4">
        <v>1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</row>
    <row r="39" spans="1:56">
      <c r="A39" s="4">
        <v>0</v>
      </c>
      <c r="B39" s="4">
        <v>0</v>
      </c>
      <c r="C39" s="4">
        <v>0</v>
      </c>
      <c r="D39" s="4">
        <v>1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</row>
    <row r="40" spans="1:56">
      <c r="A40" s="4">
        <v>0</v>
      </c>
      <c r="B40" s="4">
        <v>0</v>
      </c>
      <c r="C40" s="4">
        <v>0</v>
      </c>
      <c r="D40" s="4">
        <v>0</v>
      </c>
      <c r="E40" s="4">
        <v>1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</row>
    <row r="41" spans="1:56">
      <c r="A41" s="4">
        <v>0</v>
      </c>
      <c r="B41" s="4">
        <v>0</v>
      </c>
      <c r="C41" s="4">
        <v>0</v>
      </c>
      <c r="D41" s="4">
        <v>0</v>
      </c>
      <c r="E41" s="4">
        <v>0</v>
      </c>
      <c r="F41" s="4">
        <v>1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</row>
    <row r="42" spans="1:56">
      <c r="A42" s="4">
        <v>0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1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</row>
    <row r="43" spans="1:56">
      <c r="A43" s="4">
        <v>0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1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</row>
    <row r="44" spans="1:56">
      <c r="A44" s="4">
        <v>0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1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</row>
    <row r="45" spans="1:56">
      <c r="A45" s="4">
        <v>0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</row>
    <row r="46" spans="1:56">
      <c r="A46" s="4">
        <v>0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1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</row>
    <row r="47" spans="1:56">
      <c r="A47" s="4">
        <v>0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1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</row>
    <row r="48" spans="1:56">
      <c r="A48" s="4">
        <v>0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1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</row>
    <row r="49" spans="1:56">
      <c r="A49" s="4">
        <v>0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1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</row>
    <row r="50" spans="1:56">
      <c r="A50" s="4">
        <v>0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1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</row>
    <row r="51" spans="1:56">
      <c r="A51" s="4">
        <v>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1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</row>
    <row r="52" spans="1:56">
      <c r="A52" s="4">
        <v>0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1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</row>
    <row r="53" spans="1:56">
      <c r="A53" s="4">
        <v>0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1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</row>
    <row r="54" spans="1:56">
      <c r="A54" s="4">
        <v>0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1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</row>
    <row r="55" spans="1:56">
      <c r="A55" s="4">
        <v>0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1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</row>
    <row r="56" spans="1:56">
      <c r="A56" s="4">
        <v>0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1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</row>
    <row r="57" spans="1:56">
      <c r="A57" s="4">
        <v>0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1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</row>
    <row r="58" spans="1:56">
      <c r="A58" s="4">
        <v>0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1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</row>
    <row r="59" spans="1:56">
      <c r="A59" s="4">
        <v>0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1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</row>
    <row r="60" spans="1:56">
      <c r="A60" s="4">
        <v>0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1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</row>
    <row r="61" spans="1:56">
      <c r="A61" s="4">
        <v>0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1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</row>
    <row r="62" spans="1:56">
      <c r="A62" s="4">
        <v>0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</row>
    <row r="63" spans="1:56">
      <c r="A63" s="4">
        <v>0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1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</row>
    <row r="64" spans="1:56">
      <c r="A64" s="4">
        <v>0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1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</row>
    <row r="65" spans="1:56">
      <c r="A65" s="4">
        <v>0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1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</row>
    <row r="66" spans="1:56">
      <c r="A66" s="4">
        <v>0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1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</row>
    <row r="67" spans="1:56">
      <c r="A67" s="4">
        <v>0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1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</row>
    <row r="68" spans="1:56">
      <c r="A68" s="4">
        <v>0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1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</row>
    <row r="69" spans="1:56">
      <c r="A69" s="4">
        <v>0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1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</row>
    <row r="70" spans="1:56">
      <c r="A70" s="4">
        <v>0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1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</row>
    <row r="71" spans="1:56">
      <c r="A71" s="4">
        <v>0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1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</row>
    <row r="72" spans="1:56">
      <c r="A72" s="4">
        <v>0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1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</row>
    <row r="73" spans="1:56">
      <c r="A73" s="4">
        <v>0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1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</row>
    <row r="74" spans="1:56">
      <c r="A74" s="4">
        <v>0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1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</row>
    <row r="75" spans="1:56">
      <c r="A75" s="4">
        <v>0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1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</row>
    <row r="76" spans="1:56">
      <c r="A76" s="4">
        <v>0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1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</row>
    <row r="77" spans="1:56">
      <c r="A77" s="4">
        <v>0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1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</row>
    <row r="78" spans="1:56">
      <c r="A78" s="4">
        <v>0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1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</row>
    <row r="79" spans="1:56">
      <c r="A79" s="4">
        <v>0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1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</row>
    <row r="80" spans="1:56">
      <c r="A80" s="4">
        <v>0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1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</row>
    <row r="81" spans="1:56">
      <c r="A81" s="4">
        <v>0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1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</row>
    <row r="82" spans="1:56">
      <c r="A82" s="4">
        <v>0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1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</row>
    <row r="83" spans="1:56">
      <c r="A83" s="4">
        <v>0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1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</row>
    <row r="84" spans="1:56">
      <c r="A84" s="4">
        <v>0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1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</row>
    <row r="85" spans="1:56">
      <c r="A85" s="4">
        <v>0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1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</row>
    <row r="86" spans="1:56">
      <c r="A86" s="4">
        <v>0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1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</row>
    <row r="87" spans="1:56">
      <c r="A87" s="4">
        <v>0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1</v>
      </c>
      <c r="BA87" s="4">
        <v>0</v>
      </c>
      <c r="BB87" s="4">
        <v>0</v>
      </c>
      <c r="BC87" s="4">
        <v>0</v>
      </c>
      <c r="BD87" s="4">
        <v>0</v>
      </c>
    </row>
    <row r="88" spans="1:56">
      <c r="A88" s="4">
        <v>0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1</v>
      </c>
      <c r="BB88" s="4">
        <v>0</v>
      </c>
      <c r="BC88" s="4">
        <v>0</v>
      </c>
      <c r="BD88" s="4">
        <v>0</v>
      </c>
    </row>
    <row r="89" spans="1:56">
      <c r="A89" s="4">
        <v>0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1</v>
      </c>
      <c r="BC89" s="4">
        <v>0</v>
      </c>
      <c r="BD89" s="4">
        <v>0</v>
      </c>
    </row>
    <row r="90" spans="1:56">
      <c r="A90" s="4">
        <v>0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1</v>
      </c>
      <c r="BD90" s="4">
        <v>0</v>
      </c>
    </row>
    <row r="91" spans="1:56">
      <c r="A91" s="4">
        <v>0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3C3A7-C931-45E4-9D9A-149B09EFDF67}">
  <dimension ref="A2:S40"/>
  <sheetViews>
    <sheetView workbookViewId="0">
      <selection activeCell="A36" sqref="A36:E40"/>
    </sheetView>
  </sheetViews>
  <sheetFormatPr defaultRowHeight="15"/>
  <sheetData>
    <row r="2" spans="1:15">
      <c r="A2" s="2" t="s">
        <v>0</v>
      </c>
      <c r="B2" s="2"/>
      <c r="D2" s="2" t="s">
        <v>11</v>
      </c>
      <c r="E2" s="2"/>
      <c r="K2" s="2" t="s">
        <v>12</v>
      </c>
      <c r="L2" s="2"/>
    </row>
    <row r="4" spans="1:15">
      <c r="A4" s="3">
        <v>1</v>
      </c>
      <c r="D4" s="4">
        <v>1</v>
      </c>
      <c r="E4" s="4">
        <v>2</v>
      </c>
      <c r="F4" s="4">
        <v>3</v>
      </c>
      <c r="G4" s="4">
        <v>4</v>
      </c>
      <c r="H4" s="4">
        <v>5</v>
      </c>
      <c r="K4" s="16" cm="1">
        <f t="array" ref="K4:O8">MMULT(A4:A8,D4:H4)</f>
        <v>1</v>
      </c>
      <c r="L4" s="16">
        <v>2</v>
      </c>
      <c r="M4" s="16">
        <v>3</v>
      </c>
      <c r="N4" s="16">
        <v>4</v>
      </c>
      <c r="O4" s="16">
        <v>5</v>
      </c>
    </row>
    <row r="5" spans="1:15">
      <c r="A5" s="3">
        <v>2</v>
      </c>
      <c r="K5" s="16">
        <v>2</v>
      </c>
      <c r="L5" s="16">
        <v>4</v>
      </c>
      <c r="M5" s="16">
        <v>6</v>
      </c>
      <c r="N5" s="16">
        <v>8</v>
      </c>
      <c r="O5" s="16">
        <v>10</v>
      </c>
    </row>
    <row r="6" spans="1:15">
      <c r="A6" s="3">
        <v>3</v>
      </c>
      <c r="K6" s="16">
        <v>3</v>
      </c>
      <c r="L6" s="16">
        <v>6</v>
      </c>
      <c r="M6" s="16">
        <v>9</v>
      </c>
      <c r="N6" s="16">
        <v>12</v>
      </c>
      <c r="O6" s="16">
        <v>15</v>
      </c>
    </row>
    <row r="7" spans="1:15">
      <c r="A7" s="3">
        <v>4</v>
      </c>
      <c r="K7" s="16">
        <v>4</v>
      </c>
      <c r="L7" s="16">
        <v>8</v>
      </c>
      <c r="M7" s="16">
        <v>12</v>
      </c>
      <c r="N7" s="16">
        <v>16</v>
      </c>
      <c r="O7" s="16">
        <v>20</v>
      </c>
    </row>
    <row r="8" spans="1:15">
      <c r="A8" s="3">
        <v>5</v>
      </c>
      <c r="K8" s="16">
        <v>5</v>
      </c>
      <c r="L8" s="16">
        <v>10</v>
      </c>
      <c r="M8" s="16">
        <v>15</v>
      </c>
      <c r="N8" s="16">
        <v>20</v>
      </c>
      <c r="O8" s="16">
        <v>25</v>
      </c>
    </row>
    <row r="11" spans="1:15">
      <c r="A11" s="2" t="s">
        <v>0</v>
      </c>
      <c r="B11" s="2"/>
      <c r="G11" s="2" t="s">
        <v>11</v>
      </c>
      <c r="H11" s="2"/>
      <c r="K11" s="2" t="s">
        <v>12</v>
      </c>
      <c r="L11" s="2"/>
    </row>
    <row r="13" spans="1:15">
      <c r="A13" s="3">
        <v>1</v>
      </c>
      <c r="B13" s="3">
        <v>2</v>
      </c>
      <c r="C13" s="3">
        <v>3</v>
      </c>
      <c r="D13" s="3">
        <v>4</v>
      </c>
      <c r="E13" s="3">
        <v>5</v>
      </c>
      <c r="G13" s="4">
        <v>1</v>
      </c>
      <c r="K13" s="16" cm="1">
        <f t="array" ref="K13">MMULT(A13:E13,G13:G17)</f>
        <v>55</v>
      </c>
    </row>
    <row r="14" spans="1:15">
      <c r="G14" s="4">
        <v>2</v>
      </c>
    </row>
    <row r="15" spans="1:15">
      <c r="G15" s="4">
        <v>3</v>
      </c>
    </row>
    <row r="16" spans="1:15">
      <c r="G16" s="4">
        <v>4</v>
      </c>
    </row>
    <row r="17" spans="1:13">
      <c r="G17" s="4">
        <v>5</v>
      </c>
    </row>
    <row r="20" spans="1:13">
      <c r="A20" s="2" t="s">
        <v>0</v>
      </c>
      <c r="B20" s="2"/>
      <c r="H20" s="2" t="s">
        <v>11</v>
      </c>
      <c r="I20" s="2"/>
      <c r="L20" s="2" t="s">
        <v>12</v>
      </c>
      <c r="M20" s="2"/>
    </row>
    <row r="22" spans="1:13">
      <c r="A22" s="3">
        <v>0</v>
      </c>
      <c r="B22" s="3">
        <v>89</v>
      </c>
      <c r="C22" s="3">
        <v>6</v>
      </c>
      <c r="D22" s="3">
        <v>4</v>
      </c>
      <c r="E22" s="3">
        <v>2</v>
      </c>
      <c r="H22" s="4">
        <v>1</v>
      </c>
      <c r="I22" s="4">
        <v>6</v>
      </c>
      <c r="L22" s="16" cm="1">
        <f t="array" ref="L22:M26">MMULT(A22:E26,H22:I26)</f>
        <v>222</v>
      </c>
      <c r="M22" s="16">
        <v>727</v>
      </c>
    </row>
    <row r="23" spans="1:13">
      <c r="A23" s="3">
        <v>26</v>
      </c>
      <c r="B23" s="3">
        <v>738</v>
      </c>
      <c r="C23" s="3">
        <v>28</v>
      </c>
      <c r="D23" s="3">
        <v>12</v>
      </c>
      <c r="E23" s="3">
        <v>9</v>
      </c>
      <c r="H23" s="4">
        <v>2</v>
      </c>
      <c r="I23" s="4">
        <v>7</v>
      </c>
      <c r="L23" s="16">
        <v>1679</v>
      </c>
      <c r="M23" s="16">
        <v>5744</v>
      </c>
    </row>
    <row r="24" spans="1:13">
      <c r="A24" s="3">
        <v>12</v>
      </c>
      <c r="B24" s="3">
        <v>3</v>
      </c>
      <c r="C24" s="3">
        <v>71</v>
      </c>
      <c r="D24" s="3">
        <v>2</v>
      </c>
      <c r="E24" s="3">
        <v>8</v>
      </c>
      <c r="H24" s="4">
        <v>3</v>
      </c>
      <c r="I24" s="4">
        <v>8</v>
      </c>
      <c r="L24" s="16">
        <v>279</v>
      </c>
      <c r="M24" s="16">
        <v>759</v>
      </c>
    </row>
    <row r="25" spans="1:13">
      <c r="A25" s="3">
        <v>9</v>
      </c>
      <c r="B25" s="3">
        <v>83</v>
      </c>
      <c r="C25" s="3">
        <v>26</v>
      </c>
      <c r="D25" s="3">
        <v>1</v>
      </c>
      <c r="E25" s="3">
        <v>3</v>
      </c>
      <c r="H25" s="4">
        <v>4</v>
      </c>
      <c r="I25" s="4">
        <v>9</v>
      </c>
      <c r="L25" s="16">
        <v>272</v>
      </c>
      <c r="M25" s="16">
        <v>882</v>
      </c>
    </row>
    <row r="26" spans="1:13">
      <c r="A26" s="3">
        <v>8</v>
      </c>
      <c r="B26" s="3">
        <v>72</v>
      </c>
      <c r="C26" s="3">
        <v>6</v>
      </c>
      <c r="D26" s="3">
        <v>29</v>
      </c>
      <c r="E26" s="3">
        <v>2</v>
      </c>
      <c r="H26" s="4">
        <v>5</v>
      </c>
      <c r="I26" s="4">
        <v>10</v>
      </c>
      <c r="L26" s="16">
        <v>296</v>
      </c>
      <c r="M26" s="16">
        <v>881</v>
      </c>
    </row>
    <row r="29" spans="1:13">
      <c r="A29" s="2" t="s">
        <v>0</v>
      </c>
      <c r="B29" s="2"/>
      <c r="D29" s="2" t="s">
        <v>11</v>
      </c>
      <c r="E29" s="2"/>
      <c r="G29" s="2" t="s">
        <v>12</v>
      </c>
      <c r="H29" s="2"/>
    </row>
    <row r="31" spans="1:13">
      <c r="A31" s="3">
        <v>1</v>
      </c>
      <c r="D31" s="4">
        <v>2</v>
      </c>
      <c r="G31" s="16" cm="1">
        <f t="array" ref="G31">MMULT(A31,D31)</f>
        <v>2</v>
      </c>
    </row>
    <row r="34" spans="1:19">
      <c r="A34" s="2" t="s">
        <v>0</v>
      </c>
      <c r="B34" s="2"/>
      <c r="H34" s="2" t="s">
        <v>11</v>
      </c>
      <c r="I34" s="2"/>
      <c r="O34" s="2" t="s">
        <v>12</v>
      </c>
      <c r="P34" s="2"/>
    </row>
    <row r="36" spans="1:19">
      <c r="A36" s="15" cm="1">
        <f t="array" ref="A36:E40">_xlfn.MUNIT(5)</f>
        <v>1</v>
      </c>
      <c r="B36" s="3">
        <v>0</v>
      </c>
      <c r="C36" s="3">
        <v>0</v>
      </c>
      <c r="D36" s="3">
        <v>0</v>
      </c>
      <c r="E36" s="3">
        <v>0</v>
      </c>
      <c r="H36" s="14" cm="1">
        <f t="array" ref="H36:L40">_xlfn.MUNIT(5)</f>
        <v>1</v>
      </c>
      <c r="I36" s="4">
        <v>0</v>
      </c>
      <c r="J36" s="4">
        <v>0</v>
      </c>
      <c r="K36" s="4">
        <v>0</v>
      </c>
      <c r="L36" s="4">
        <v>0</v>
      </c>
      <c r="O36" s="16" cm="1">
        <f t="array" ref="O36:S40">MMULT(_xlfn.ANCHORARRAY(A36),_xlfn.ANCHORARRAY(H36))</f>
        <v>1</v>
      </c>
      <c r="P36" s="16">
        <v>0</v>
      </c>
      <c r="Q36" s="16">
        <v>0</v>
      </c>
      <c r="R36" s="16">
        <v>0</v>
      </c>
      <c r="S36" s="16">
        <v>0</v>
      </c>
    </row>
    <row r="37" spans="1:19">
      <c r="A37" s="3">
        <v>0</v>
      </c>
      <c r="B37" s="3">
        <v>1</v>
      </c>
      <c r="C37" s="3">
        <v>0</v>
      </c>
      <c r="D37" s="3">
        <v>0</v>
      </c>
      <c r="E37" s="3">
        <v>0</v>
      </c>
      <c r="H37" s="4">
        <v>0</v>
      </c>
      <c r="I37" s="4">
        <v>1</v>
      </c>
      <c r="J37" s="4">
        <v>0</v>
      </c>
      <c r="K37" s="4">
        <v>0</v>
      </c>
      <c r="L37" s="4">
        <v>0</v>
      </c>
      <c r="O37" s="16">
        <v>0</v>
      </c>
      <c r="P37" s="16">
        <v>1</v>
      </c>
      <c r="Q37" s="16">
        <v>0</v>
      </c>
      <c r="R37" s="16">
        <v>0</v>
      </c>
      <c r="S37" s="16">
        <v>0</v>
      </c>
    </row>
    <row r="38" spans="1:19">
      <c r="A38" s="3">
        <v>0</v>
      </c>
      <c r="B38" s="3">
        <v>0</v>
      </c>
      <c r="C38" s="3">
        <v>1</v>
      </c>
      <c r="D38" s="3">
        <v>0</v>
      </c>
      <c r="E38" s="3">
        <v>0</v>
      </c>
      <c r="H38" s="4">
        <v>0</v>
      </c>
      <c r="I38" s="4">
        <v>0</v>
      </c>
      <c r="J38" s="4">
        <v>1</v>
      </c>
      <c r="K38" s="4">
        <v>0</v>
      </c>
      <c r="L38" s="4">
        <v>0</v>
      </c>
      <c r="O38" s="16">
        <v>0</v>
      </c>
      <c r="P38" s="16">
        <v>0</v>
      </c>
      <c r="Q38" s="16">
        <v>1</v>
      </c>
      <c r="R38" s="16">
        <v>0</v>
      </c>
      <c r="S38" s="16">
        <v>0</v>
      </c>
    </row>
    <row r="39" spans="1:19">
      <c r="A39" s="3">
        <v>0</v>
      </c>
      <c r="B39" s="3">
        <v>0</v>
      </c>
      <c r="C39" s="3">
        <v>0</v>
      </c>
      <c r="D39" s="3">
        <v>1</v>
      </c>
      <c r="E39" s="3">
        <v>0</v>
      </c>
      <c r="H39" s="4">
        <v>0</v>
      </c>
      <c r="I39" s="4">
        <v>0</v>
      </c>
      <c r="J39" s="4">
        <v>0</v>
      </c>
      <c r="K39" s="4">
        <v>1</v>
      </c>
      <c r="L39" s="4">
        <v>0</v>
      </c>
      <c r="O39" s="16">
        <v>0</v>
      </c>
      <c r="P39" s="16">
        <v>0</v>
      </c>
      <c r="Q39" s="16">
        <v>0</v>
      </c>
      <c r="R39" s="16">
        <v>1</v>
      </c>
      <c r="S39" s="16">
        <v>0</v>
      </c>
    </row>
    <row r="40" spans="1:19">
      <c r="A40" s="3">
        <v>0</v>
      </c>
      <c r="B40" s="3">
        <v>0</v>
      </c>
      <c r="C40" s="3">
        <v>0</v>
      </c>
      <c r="D40" s="3">
        <v>0</v>
      </c>
      <c r="E40" s="3">
        <v>1</v>
      </c>
      <c r="H40" s="4">
        <v>0</v>
      </c>
      <c r="I40" s="4">
        <v>0</v>
      </c>
      <c r="J40" s="4">
        <v>0</v>
      </c>
      <c r="K40" s="4">
        <v>0</v>
      </c>
      <c r="L40" s="4">
        <v>1</v>
      </c>
      <c r="O40" s="16">
        <v>0</v>
      </c>
      <c r="P40" s="16">
        <v>0</v>
      </c>
      <c r="Q40" s="16">
        <v>0</v>
      </c>
      <c r="R40" s="16">
        <v>0</v>
      </c>
      <c r="S40" s="1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BC839-BB9F-44DB-AC7E-6928C181B6D5}">
  <dimension ref="A1:L39"/>
  <sheetViews>
    <sheetView workbookViewId="0">
      <selection sqref="A1:F40"/>
    </sheetView>
  </sheetViews>
  <sheetFormatPr defaultRowHeight="15"/>
  <sheetData>
    <row r="1" spans="1:9">
      <c r="A1" s="2" t="s">
        <v>0</v>
      </c>
      <c r="B1" s="2"/>
      <c r="D1" s="2" t="s">
        <v>13</v>
      </c>
      <c r="E1" s="2"/>
    </row>
    <row r="3" spans="1:9">
      <c r="A3" s="3">
        <v>1</v>
      </c>
      <c r="D3" s="4" cm="1">
        <f t="array" ref="D3:H3">TRANSPOSE(A3:A7)</f>
        <v>1</v>
      </c>
      <c r="E3" s="4">
        <v>2</v>
      </c>
      <c r="F3" s="4">
        <v>3</v>
      </c>
      <c r="G3" s="4">
        <v>4</v>
      </c>
      <c r="H3" s="4">
        <v>5</v>
      </c>
    </row>
    <row r="4" spans="1:9">
      <c r="A4" s="3">
        <v>2</v>
      </c>
    </row>
    <row r="5" spans="1:9">
      <c r="A5" s="3">
        <v>3</v>
      </c>
    </row>
    <row r="6" spans="1:9">
      <c r="A6" s="3">
        <v>4</v>
      </c>
    </row>
    <row r="7" spans="1:9">
      <c r="A7" s="3">
        <v>5</v>
      </c>
    </row>
    <row r="10" spans="1:9">
      <c r="A10" s="2" t="s">
        <v>0</v>
      </c>
      <c r="B10" s="2"/>
      <c r="H10" s="2" t="s">
        <v>13</v>
      </c>
      <c r="I10" s="2"/>
    </row>
    <row r="12" spans="1:9">
      <c r="A12" s="3">
        <v>1</v>
      </c>
      <c r="B12" s="3">
        <v>2</v>
      </c>
      <c r="C12" s="3">
        <v>3</v>
      </c>
      <c r="D12" s="3">
        <v>4</v>
      </c>
      <c r="E12" s="3">
        <v>5</v>
      </c>
      <c r="H12" s="4" cm="1">
        <f t="array" ref="H12:H16">TRANSPOSE(A12:E12)</f>
        <v>1</v>
      </c>
    </row>
    <row r="13" spans="1:9">
      <c r="H13" s="4">
        <v>2</v>
      </c>
    </row>
    <row r="14" spans="1:9">
      <c r="H14" s="4">
        <v>3</v>
      </c>
    </row>
    <row r="15" spans="1:9">
      <c r="H15" s="4">
        <v>4</v>
      </c>
    </row>
    <row r="16" spans="1:9">
      <c r="H16" s="4">
        <v>5</v>
      </c>
    </row>
    <row r="19" spans="1:12">
      <c r="A19" s="2" t="s">
        <v>0</v>
      </c>
      <c r="B19" s="2"/>
      <c r="H19" s="2" t="s">
        <v>13</v>
      </c>
      <c r="I19" s="2"/>
    </row>
    <row r="21" spans="1:12">
      <c r="A21" s="3">
        <v>0</v>
      </c>
      <c r="B21" s="3">
        <v>89</v>
      </c>
      <c r="C21" s="3">
        <v>6</v>
      </c>
      <c r="D21" s="3">
        <v>4</v>
      </c>
      <c r="E21" s="3">
        <v>2</v>
      </c>
      <c r="H21" s="4" cm="1">
        <f t="array" ref="H21:L25">TRANSPOSE(A21:E25)</f>
        <v>0</v>
      </c>
      <c r="I21" s="4">
        <v>26</v>
      </c>
      <c r="J21" s="4">
        <v>12</v>
      </c>
      <c r="K21" s="4">
        <v>9</v>
      </c>
      <c r="L21" s="4">
        <v>8</v>
      </c>
    </row>
    <row r="22" spans="1:12">
      <c r="A22" s="3">
        <v>26</v>
      </c>
      <c r="B22" s="3">
        <v>738</v>
      </c>
      <c r="C22" s="3">
        <v>28</v>
      </c>
      <c r="D22" s="3">
        <v>12</v>
      </c>
      <c r="E22" s="3">
        <v>9</v>
      </c>
      <c r="H22" s="4">
        <v>89</v>
      </c>
      <c r="I22" s="4">
        <v>738</v>
      </c>
      <c r="J22" s="4">
        <v>3</v>
      </c>
      <c r="K22" s="4">
        <v>83</v>
      </c>
      <c r="L22" s="4">
        <v>72</v>
      </c>
    </row>
    <row r="23" spans="1:12">
      <c r="A23" s="3">
        <v>12</v>
      </c>
      <c r="B23" s="3">
        <v>3</v>
      </c>
      <c r="C23" s="3">
        <v>71</v>
      </c>
      <c r="D23" s="3">
        <v>2</v>
      </c>
      <c r="E23" s="3">
        <v>8</v>
      </c>
      <c r="H23" s="4">
        <v>6</v>
      </c>
      <c r="I23" s="4">
        <v>28</v>
      </c>
      <c r="J23" s="4">
        <v>71</v>
      </c>
      <c r="K23" s="4">
        <v>26</v>
      </c>
      <c r="L23" s="4">
        <v>6</v>
      </c>
    </row>
    <row r="24" spans="1:12">
      <c r="A24" s="3">
        <v>9</v>
      </c>
      <c r="B24" s="3">
        <v>83</v>
      </c>
      <c r="C24" s="3">
        <v>26</v>
      </c>
      <c r="D24" s="3">
        <v>1</v>
      </c>
      <c r="E24" s="3">
        <v>3</v>
      </c>
      <c r="H24" s="4">
        <v>4</v>
      </c>
      <c r="I24" s="4">
        <v>12</v>
      </c>
      <c r="J24" s="4">
        <v>2</v>
      </c>
      <c r="K24" s="4">
        <v>1</v>
      </c>
      <c r="L24" s="4">
        <v>29</v>
      </c>
    </row>
    <row r="25" spans="1:12">
      <c r="A25" s="3">
        <v>8</v>
      </c>
      <c r="B25" s="3">
        <v>72</v>
      </c>
      <c r="C25" s="3">
        <v>6</v>
      </c>
      <c r="D25" s="3">
        <v>29</v>
      </c>
      <c r="E25" s="3">
        <v>2</v>
      </c>
      <c r="H25" s="4">
        <v>2</v>
      </c>
      <c r="I25" s="4">
        <v>9</v>
      </c>
      <c r="J25" s="4">
        <v>8</v>
      </c>
      <c r="K25" s="4">
        <v>3</v>
      </c>
      <c r="L25" s="4">
        <v>2</v>
      </c>
    </row>
    <row r="28" spans="1:12">
      <c r="A28" s="2" t="s">
        <v>0</v>
      </c>
      <c r="B28" s="2"/>
      <c r="D28" s="2" t="s">
        <v>13</v>
      </c>
      <c r="E28" s="2"/>
    </row>
    <row r="30" spans="1:12">
      <c r="A30" s="3">
        <v>1</v>
      </c>
      <c r="D30" s="4" cm="1">
        <f t="array" ref="D30">TRANSPOSE(A30)</f>
        <v>1</v>
      </c>
    </row>
    <row r="33" spans="1:12">
      <c r="A33" s="2" t="s">
        <v>0</v>
      </c>
      <c r="B33" s="2"/>
      <c r="H33" s="2" t="s">
        <v>13</v>
      </c>
      <c r="I33" s="2"/>
    </row>
    <row r="35" spans="1:12">
      <c r="A35" s="15" cm="1">
        <f t="array" ref="A35:E39">_xlfn.MUNIT(5)</f>
        <v>1</v>
      </c>
      <c r="B35" s="3">
        <v>0</v>
      </c>
      <c r="C35" s="3">
        <v>0</v>
      </c>
      <c r="D35" s="3">
        <v>0</v>
      </c>
      <c r="E35" s="3">
        <v>0</v>
      </c>
      <c r="H35" s="4" cm="1">
        <f t="array" ref="H35:L39">TRANSPOSE(_xlfn.ANCHORARRAY(A35))</f>
        <v>1</v>
      </c>
      <c r="I35" s="4">
        <v>0</v>
      </c>
      <c r="J35" s="4">
        <v>0</v>
      </c>
      <c r="K35" s="4">
        <v>0</v>
      </c>
      <c r="L35" s="4">
        <v>0</v>
      </c>
    </row>
    <row r="36" spans="1:12">
      <c r="A36" s="3">
        <v>0</v>
      </c>
      <c r="B36" s="3">
        <v>1</v>
      </c>
      <c r="C36" s="3">
        <v>0</v>
      </c>
      <c r="D36" s="3">
        <v>0</v>
      </c>
      <c r="E36" s="3">
        <v>0</v>
      </c>
      <c r="H36" s="4">
        <v>0</v>
      </c>
      <c r="I36" s="4">
        <v>1</v>
      </c>
      <c r="J36" s="4">
        <v>0</v>
      </c>
      <c r="K36" s="4">
        <v>0</v>
      </c>
      <c r="L36" s="4">
        <v>0</v>
      </c>
    </row>
    <row r="37" spans="1:12">
      <c r="A37" s="3">
        <v>0</v>
      </c>
      <c r="B37" s="3">
        <v>0</v>
      </c>
      <c r="C37" s="3">
        <v>1</v>
      </c>
      <c r="D37" s="3">
        <v>0</v>
      </c>
      <c r="E37" s="3">
        <v>0</v>
      </c>
      <c r="H37" s="4">
        <v>0</v>
      </c>
      <c r="I37" s="4">
        <v>0</v>
      </c>
      <c r="J37" s="4">
        <v>1</v>
      </c>
      <c r="K37" s="4">
        <v>0</v>
      </c>
      <c r="L37" s="4">
        <v>0</v>
      </c>
    </row>
    <row r="38" spans="1:12">
      <c r="A38" s="3">
        <v>0</v>
      </c>
      <c r="B38" s="3">
        <v>0</v>
      </c>
      <c r="C38" s="3">
        <v>0</v>
      </c>
      <c r="D38" s="3">
        <v>1</v>
      </c>
      <c r="E38" s="3">
        <v>0</v>
      </c>
      <c r="H38" s="4">
        <v>0</v>
      </c>
      <c r="I38" s="4">
        <v>0</v>
      </c>
      <c r="J38" s="4">
        <v>0</v>
      </c>
      <c r="K38" s="4">
        <v>1</v>
      </c>
      <c r="L38" s="4">
        <v>0</v>
      </c>
    </row>
    <row r="39" spans="1:12">
      <c r="A39" s="3">
        <v>0</v>
      </c>
      <c r="B39" s="3">
        <v>0</v>
      </c>
      <c r="C39" s="3">
        <v>0</v>
      </c>
      <c r="D39" s="3">
        <v>0</v>
      </c>
      <c r="E39" s="3">
        <v>1</v>
      </c>
      <c r="H39" s="4">
        <v>0</v>
      </c>
      <c r="I39" s="4">
        <v>0</v>
      </c>
      <c r="J39" s="4">
        <v>0</v>
      </c>
      <c r="K39" s="4">
        <v>0</v>
      </c>
      <c r="L39" s="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B5F1-2D6A-43B7-B325-7D080350E460}">
  <dimension ref="A1:L40"/>
  <sheetViews>
    <sheetView workbookViewId="0">
      <selection sqref="A1:H40"/>
    </sheetView>
  </sheetViews>
  <sheetFormatPr defaultRowHeight="15"/>
  <sheetData>
    <row r="1" spans="1:9">
      <c r="A1" s="2" t="s">
        <v>0</v>
      </c>
      <c r="B1" s="2"/>
      <c r="H1" s="2" t="s">
        <v>14</v>
      </c>
      <c r="I1" s="2"/>
    </row>
    <row r="3" spans="1:9">
      <c r="A3" s="3">
        <v>0</v>
      </c>
      <c r="B3" s="3">
        <v>89</v>
      </c>
      <c r="C3" s="3">
        <v>6</v>
      </c>
      <c r="D3" s="3">
        <v>4</v>
      </c>
      <c r="E3" s="3">
        <v>2</v>
      </c>
      <c r="H3" s="4">
        <f>MDETERM(A3:E7)</f>
        <v>-1284170.999999997</v>
      </c>
    </row>
    <row r="4" spans="1:9">
      <c r="A4" s="3">
        <v>26</v>
      </c>
      <c r="B4" s="3">
        <v>738</v>
      </c>
      <c r="C4" s="3">
        <v>28</v>
      </c>
      <c r="D4" s="3">
        <v>12</v>
      </c>
      <c r="E4" s="3">
        <v>9</v>
      </c>
    </row>
    <row r="5" spans="1:9">
      <c r="A5" s="3">
        <v>12</v>
      </c>
      <c r="B5" s="3">
        <v>3</v>
      </c>
      <c r="C5" s="3">
        <v>71</v>
      </c>
      <c r="D5" s="3">
        <v>2</v>
      </c>
      <c r="E5" s="3">
        <v>8</v>
      </c>
    </row>
    <row r="6" spans="1:9">
      <c r="A6" s="3">
        <v>9</v>
      </c>
      <c r="B6" s="3">
        <v>83</v>
      </c>
      <c r="C6" s="3">
        <v>26</v>
      </c>
      <c r="D6" s="3">
        <v>1</v>
      </c>
      <c r="E6" s="3">
        <v>3</v>
      </c>
    </row>
    <row r="7" spans="1:9">
      <c r="A7" s="3">
        <v>8</v>
      </c>
      <c r="B7" s="3">
        <v>72</v>
      </c>
      <c r="C7" s="3">
        <v>6</v>
      </c>
      <c r="D7" s="3">
        <v>29</v>
      </c>
      <c r="E7" s="3">
        <v>2</v>
      </c>
    </row>
    <row r="10" spans="1:9">
      <c r="A10" s="2" t="s">
        <v>0</v>
      </c>
      <c r="B10" s="2"/>
      <c r="H10" s="2" t="s">
        <v>14</v>
      </c>
      <c r="I10" s="2"/>
    </row>
    <row r="12" spans="1:9">
      <c r="A12" s="3">
        <v>73</v>
      </c>
      <c r="B12" s="3">
        <v>8</v>
      </c>
      <c r="C12" s="3">
        <v>2</v>
      </c>
      <c r="D12" s="3">
        <v>62</v>
      </c>
      <c r="E12" s="3">
        <v>2</v>
      </c>
      <c r="H12" s="4">
        <f>MDETERM(A12:E16)</f>
        <v>44627940</v>
      </c>
    </row>
    <row r="13" spans="1:9">
      <c r="A13" s="3">
        <v>4</v>
      </c>
      <c r="B13" s="3">
        <v>8</v>
      </c>
      <c r="C13" s="3">
        <v>3</v>
      </c>
      <c r="D13" s="3">
        <v>4</v>
      </c>
      <c r="E13" s="3">
        <v>5</v>
      </c>
    </row>
    <row r="14" spans="1:9">
      <c r="A14" s="3">
        <v>23</v>
      </c>
      <c r="B14" s="3">
        <v>37</v>
      </c>
      <c r="C14" s="3">
        <v>8</v>
      </c>
      <c r="D14" s="3">
        <v>2</v>
      </c>
      <c r="E14" s="3">
        <v>9</v>
      </c>
    </row>
    <row r="15" spans="1:9">
      <c r="A15" s="3">
        <v>2</v>
      </c>
      <c r="B15" s="3">
        <v>3</v>
      </c>
      <c r="C15" s="3">
        <v>5</v>
      </c>
      <c r="D15" s="3">
        <v>7</v>
      </c>
      <c r="E15" s="3">
        <v>27</v>
      </c>
    </row>
    <row r="16" spans="1:9">
      <c r="A16" s="3">
        <v>0</v>
      </c>
      <c r="B16" s="3">
        <v>633</v>
      </c>
      <c r="C16" s="3">
        <v>2</v>
      </c>
      <c r="D16" s="3">
        <v>2</v>
      </c>
      <c r="E16" s="3">
        <v>1</v>
      </c>
    </row>
    <row r="19" spans="1:12">
      <c r="A19" s="2" t="s">
        <v>0</v>
      </c>
      <c r="B19" s="2"/>
      <c r="D19" s="2" t="s">
        <v>14</v>
      </c>
      <c r="E19" s="2"/>
    </row>
    <row r="21" spans="1:12">
      <c r="A21" s="3">
        <v>1</v>
      </c>
      <c r="D21" s="4">
        <f>MDETERM(A21)</f>
        <v>1</v>
      </c>
    </row>
    <row r="24" spans="1:12">
      <c r="A24" s="2" t="s">
        <v>0</v>
      </c>
      <c r="B24" s="2"/>
      <c r="F24" s="2" t="s">
        <v>14</v>
      </c>
      <c r="G24" s="2"/>
    </row>
    <row r="26" spans="1:12">
      <c r="A26" s="3">
        <v>1</v>
      </c>
      <c r="B26" s="3">
        <v>2</v>
      </c>
      <c r="C26" s="3">
        <v>3</v>
      </c>
      <c r="F26" s="4">
        <f>MDETERM(A26:C28)</f>
        <v>6.6613381477509392E-16</v>
      </c>
    </row>
    <row r="27" spans="1:12">
      <c r="A27" s="3">
        <v>4</v>
      </c>
      <c r="B27" s="3">
        <v>5</v>
      </c>
      <c r="C27" s="3">
        <v>6</v>
      </c>
    </row>
    <row r="28" spans="1:12">
      <c r="A28" s="3">
        <v>7</v>
      </c>
      <c r="B28" s="3">
        <v>8</v>
      </c>
      <c r="C28" s="3">
        <v>9</v>
      </c>
    </row>
    <row r="31" spans="1:12">
      <c r="A31" s="2" t="s">
        <v>0</v>
      </c>
      <c r="B31" s="2"/>
      <c r="K31" s="2" t="s">
        <v>14</v>
      </c>
      <c r="L31" s="2"/>
    </row>
    <row r="33" spans="1:11">
      <c r="A33" s="3" cm="1">
        <f t="array" ref="A33:H40">_xlfn.MUNIT(8)</f>
        <v>1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K33" s="4">
        <f>MDETERM(_xlfn.ANCHORARRAY(A33))</f>
        <v>1</v>
      </c>
    </row>
    <row r="34" spans="1:11">
      <c r="A34" s="3">
        <v>0</v>
      </c>
      <c r="B34" s="3">
        <v>1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</row>
    <row r="35" spans="1:11">
      <c r="A35" s="3">
        <v>0</v>
      </c>
      <c r="B35" s="3">
        <v>0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</row>
    <row r="36" spans="1:11">
      <c r="A36" s="3">
        <v>0</v>
      </c>
      <c r="B36" s="3">
        <v>0</v>
      </c>
      <c r="C36" s="3">
        <v>0</v>
      </c>
      <c r="D36" s="3">
        <v>1</v>
      </c>
      <c r="E36" s="3">
        <v>0</v>
      </c>
      <c r="F36" s="3">
        <v>0</v>
      </c>
      <c r="G36" s="3">
        <v>0</v>
      </c>
      <c r="H36" s="3">
        <v>0</v>
      </c>
    </row>
    <row r="37" spans="1:11">
      <c r="A37" s="3">
        <v>0</v>
      </c>
      <c r="B37" s="3">
        <v>0</v>
      </c>
      <c r="C37" s="3">
        <v>0</v>
      </c>
      <c r="D37" s="3">
        <v>0</v>
      </c>
      <c r="E37" s="3">
        <v>1</v>
      </c>
      <c r="F37" s="3">
        <v>0</v>
      </c>
      <c r="G37" s="3">
        <v>0</v>
      </c>
      <c r="H37" s="3">
        <v>0</v>
      </c>
    </row>
    <row r="38" spans="1:11">
      <c r="A38" s="3">
        <v>0</v>
      </c>
      <c r="B38" s="3">
        <v>0</v>
      </c>
      <c r="C38" s="3">
        <v>0</v>
      </c>
      <c r="D38" s="3">
        <v>0</v>
      </c>
      <c r="E38" s="3">
        <v>0</v>
      </c>
      <c r="F38" s="3">
        <v>1</v>
      </c>
      <c r="G38" s="3">
        <v>0</v>
      </c>
      <c r="H38" s="3">
        <v>0</v>
      </c>
    </row>
    <row r="39" spans="1:11">
      <c r="A39" s="3">
        <v>0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1</v>
      </c>
      <c r="H39" s="3">
        <v>0</v>
      </c>
    </row>
    <row r="40" spans="1:11">
      <c r="A40" s="3">
        <v>0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C93AF-A71D-4101-A380-C58ADD3E1D15}">
  <dimension ref="A1:R40"/>
  <sheetViews>
    <sheetView tabSelected="1" topLeftCell="J1" workbookViewId="0">
      <selection activeCell="K33" sqref="K33:R40"/>
    </sheetView>
  </sheetViews>
  <sheetFormatPr defaultRowHeight="15"/>
  <sheetData>
    <row r="1" spans="1:12">
      <c r="A1" s="2" t="s">
        <v>0</v>
      </c>
      <c r="B1" s="2"/>
      <c r="H1" s="2" t="s">
        <v>15</v>
      </c>
      <c r="I1" s="2"/>
    </row>
    <row r="3" spans="1:12">
      <c r="A3" s="3">
        <v>0</v>
      </c>
      <c r="B3" s="3">
        <v>89</v>
      </c>
      <c r="C3" s="3">
        <v>6</v>
      </c>
      <c r="D3" s="3">
        <v>4</v>
      </c>
      <c r="E3" s="3">
        <v>2</v>
      </c>
      <c r="H3" s="4" cm="1">
        <f t="array" ref="H3:L7">MINVERSE(A3:E7)</f>
        <v>-0.62452664014372039</v>
      </c>
      <c r="I3" s="4">
        <v>0.14131840697228049</v>
      </c>
      <c r="J3" s="4">
        <v>0.2227912014832921</v>
      </c>
      <c r="K3" s="4">
        <v>-0.62426499274629421</v>
      </c>
      <c r="L3" s="4">
        <v>3.3826491954731912E-2</v>
      </c>
    </row>
    <row r="4" spans="1:12">
      <c r="A4" s="3">
        <v>26</v>
      </c>
      <c r="B4" s="3">
        <v>738</v>
      </c>
      <c r="C4" s="3">
        <v>28</v>
      </c>
      <c r="D4" s="3">
        <v>12</v>
      </c>
      <c r="E4" s="3">
        <v>9</v>
      </c>
      <c r="H4" s="4">
        <v>3.6861913249871009E-2</v>
      </c>
      <c r="I4" s="4">
        <v>-8.489523591484336E-3</v>
      </c>
      <c r="J4" s="4">
        <v>-1.8067687247259163E-2</v>
      </c>
      <c r="K4" s="4">
        <v>5.0451224953686175E-2</v>
      </c>
      <c r="L4" s="4">
        <v>-2.0651455296841329E-3</v>
      </c>
    </row>
    <row r="5" spans="1:12">
      <c r="A5" s="3">
        <v>12</v>
      </c>
      <c r="B5" s="3">
        <v>3</v>
      </c>
      <c r="C5" s="3">
        <v>71</v>
      </c>
      <c r="D5" s="3">
        <v>2</v>
      </c>
      <c r="E5" s="3">
        <v>8</v>
      </c>
      <c r="H5" s="4">
        <v>0.40628467704067533</v>
      </c>
      <c r="I5" s="4">
        <v>-0.11503296679336347</v>
      </c>
      <c r="J5" s="4">
        <v>-0.19620206343236263</v>
      </c>
      <c r="K5" s="4">
        <v>0.60803117341849466</v>
      </c>
      <c r="L5" s="4">
        <v>-1.5874832868831353E-2</v>
      </c>
    </row>
    <row r="6" spans="1:12">
      <c r="A6" s="3">
        <v>9</v>
      </c>
      <c r="B6" s="3">
        <v>83</v>
      </c>
      <c r="C6" s="3">
        <v>26</v>
      </c>
      <c r="D6" s="3">
        <v>1</v>
      </c>
      <c r="E6" s="3">
        <v>3</v>
      </c>
      <c r="H6" s="4">
        <v>0.18491462585590274</v>
      </c>
      <c r="I6" s="4">
        <v>-5.0994766273339105E-2</v>
      </c>
      <c r="J6" s="4">
        <v>-8.3579211802789682E-2</v>
      </c>
      <c r="K6" s="4">
        <v>0.23407163064732092</v>
      </c>
      <c r="L6" s="4">
        <v>2.777122361430058E-2</v>
      </c>
    </row>
    <row r="7" spans="1:12">
      <c r="A7" s="3">
        <v>8</v>
      </c>
      <c r="B7" s="3">
        <v>72</v>
      </c>
      <c r="C7" s="3">
        <v>6</v>
      </c>
      <c r="D7" s="3">
        <v>29</v>
      </c>
      <c r="E7" s="3">
        <v>2</v>
      </c>
      <c r="H7" s="4">
        <v>-2.7290384224530908</v>
      </c>
      <c r="I7" s="4">
        <v>0.82487223274782151</v>
      </c>
      <c r="J7" s="4">
        <v>1.5597766964057</v>
      </c>
      <c r="K7" s="4">
        <v>-4.5373162919891614</v>
      </c>
      <c r="L7" s="4">
        <v>8.3981027448836801E-2</v>
      </c>
    </row>
    <row r="10" spans="1:12">
      <c r="A10" s="2" t="s">
        <v>0</v>
      </c>
      <c r="B10" s="2"/>
      <c r="H10" s="2" t="s">
        <v>15</v>
      </c>
      <c r="I10" s="2"/>
    </row>
    <row r="12" spans="1:12">
      <c r="A12" s="3">
        <v>73</v>
      </c>
      <c r="B12" s="3">
        <v>8</v>
      </c>
      <c r="C12" s="3">
        <v>2</v>
      </c>
      <c r="D12" s="3">
        <v>62</v>
      </c>
      <c r="E12" s="3">
        <v>2</v>
      </c>
      <c r="H12" s="4" cm="1">
        <f t="array" ref="H12:L16">MINVERSE(A12:E16)</f>
        <v>6.7406651528168268E-3</v>
      </c>
      <c r="I12" s="4">
        <v>-0.14687919720247</v>
      </c>
      <c r="J12" s="4">
        <v>4.6655480848992806E-2</v>
      </c>
      <c r="K12" s="4">
        <v>1.1186086563708741E-2</v>
      </c>
      <c r="L12" s="4">
        <v>-1.0090091543548728E-3</v>
      </c>
    </row>
    <row r="13" spans="1:12">
      <c r="A13" s="3">
        <v>4</v>
      </c>
      <c r="B13" s="3">
        <v>8</v>
      </c>
      <c r="C13" s="3">
        <v>3</v>
      </c>
      <c r="D13" s="3">
        <v>4</v>
      </c>
      <c r="E13" s="3">
        <v>5</v>
      </c>
      <c r="H13" s="4">
        <v>4.3851452699810951E-5</v>
      </c>
      <c r="I13" s="4">
        <v>-1.9993304642786556E-3</v>
      </c>
      <c r="J13" s="4">
        <v>1.8716974164615258E-4</v>
      </c>
      <c r="K13" s="4">
        <v>2.4563087608345805E-4</v>
      </c>
      <c r="L13" s="4">
        <v>1.5923880869249173E-3</v>
      </c>
    </row>
    <row r="14" spans="1:12">
      <c r="A14" s="3">
        <v>23</v>
      </c>
      <c r="B14" s="3">
        <v>37</v>
      </c>
      <c r="C14" s="3">
        <v>8</v>
      </c>
      <c r="D14" s="3">
        <v>2</v>
      </c>
      <c r="E14" s="3">
        <v>9</v>
      </c>
      <c r="H14" s="4">
        <v>-2.3550739738379147E-2</v>
      </c>
      <c r="I14" s="4">
        <v>0.5377303545715979</v>
      </c>
      <c r="J14" s="4">
        <v>-1.0587291279857408E-2</v>
      </c>
      <c r="K14" s="4">
        <v>-9.4104858973996994E-2</v>
      </c>
      <c r="L14" s="4">
        <v>-5.433479564595633E-3</v>
      </c>
    </row>
    <row r="15" spans="1:12">
      <c r="A15" s="3">
        <v>2</v>
      </c>
      <c r="B15" s="3">
        <v>3</v>
      </c>
      <c r="C15" s="3">
        <v>5</v>
      </c>
      <c r="D15" s="3">
        <v>7</v>
      </c>
      <c r="E15" s="3">
        <v>27</v>
      </c>
      <c r="H15" s="4">
        <v>8.8964671011030286E-3</v>
      </c>
      <c r="I15" s="4">
        <v>0.16004283415277515</v>
      </c>
      <c r="J15" s="4">
        <v>-5.5026985336988445E-2</v>
      </c>
      <c r="K15" s="4">
        <v>-1.1996386120443826E-2</v>
      </c>
      <c r="L15" s="4">
        <v>1.1381883187975962E-3</v>
      </c>
    </row>
    <row r="16" spans="1:12">
      <c r="A16" s="3">
        <v>0</v>
      </c>
      <c r="B16" s="3">
        <v>633</v>
      </c>
      <c r="C16" s="3">
        <v>2</v>
      </c>
      <c r="D16" s="3">
        <v>2</v>
      </c>
      <c r="E16" s="3">
        <v>1</v>
      </c>
      <c r="H16" s="4">
        <v>1.5505757155719042E-3</v>
      </c>
      <c r="I16" s="4">
        <v>-0.12997019356035702</v>
      </c>
      <c r="J16" s="4">
        <v>1.2750106771677115E-2</v>
      </c>
      <c r="K16" s="4">
        <v>5.6718145628052732E-2</v>
      </c>
      <c r="L16" s="4">
        <v>6.0892346812333256E-4</v>
      </c>
    </row>
    <row r="19" spans="1:12">
      <c r="A19" s="2" t="s">
        <v>0</v>
      </c>
      <c r="B19" s="2"/>
      <c r="D19" s="2" t="s">
        <v>15</v>
      </c>
      <c r="E19" s="2"/>
    </row>
    <row r="21" spans="1:12">
      <c r="A21" s="3">
        <v>1</v>
      </c>
      <c r="D21" s="4" cm="1">
        <f t="array" ref="D21">MINVERSE(A21)</f>
        <v>1</v>
      </c>
    </row>
    <row r="24" spans="1:12">
      <c r="A24" s="2" t="s">
        <v>0</v>
      </c>
      <c r="B24" s="2"/>
      <c r="F24" s="2" t="s">
        <v>15</v>
      </c>
      <c r="G24" s="2"/>
    </row>
    <row r="26" spans="1:12">
      <c r="A26" s="3">
        <v>1</v>
      </c>
      <c r="B26" s="3">
        <v>2</v>
      </c>
      <c r="C26" s="3">
        <v>3</v>
      </c>
      <c r="F26" s="4" cm="1">
        <f t="array" ref="F26:H28">MINVERSE(A26:C28)</f>
        <v>-4503599627370498</v>
      </c>
      <c r="G26" s="4">
        <v>9007199254740992</v>
      </c>
      <c r="H26" s="4">
        <v>-4503599627370496</v>
      </c>
    </row>
    <row r="27" spans="1:12">
      <c r="A27" s="3">
        <v>4</v>
      </c>
      <c r="B27" s="3">
        <v>5</v>
      </c>
      <c r="C27" s="3">
        <v>6</v>
      </c>
      <c r="F27" s="4">
        <v>9007199254740996</v>
      </c>
      <c r="G27" s="4">
        <v>-1.8014398509481984E+16</v>
      </c>
      <c r="H27" s="4">
        <v>9007199254740991</v>
      </c>
    </row>
    <row r="28" spans="1:12">
      <c r="A28" s="3">
        <v>7</v>
      </c>
      <c r="B28" s="3">
        <v>8</v>
      </c>
      <c r="C28" s="3">
        <v>9</v>
      </c>
      <c r="F28" s="4">
        <v>-4503599627370498</v>
      </c>
      <c r="G28" s="4">
        <v>9007199254740992</v>
      </c>
      <c r="H28" s="4">
        <v>-4503599627370495.5</v>
      </c>
    </row>
    <row r="31" spans="1:12">
      <c r="A31" s="2" t="s">
        <v>0</v>
      </c>
      <c r="B31" s="2"/>
      <c r="K31" s="2" t="s">
        <v>15</v>
      </c>
      <c r="L31" s="2"/>
    </row>
    <row r="33" spans="1:18">
      <c r="A33" s="3" cm="1">
        <f t="array" ref="A33:H40">_xlfn.MUNIT(8)</f>
        <v>1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K33" s="4" cm="1">
        <f t="array" ref="K33:R40">MINVERSE(_xlfn.ANCHORARRAY(A33))</f>
        <v>1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</row>
    <row r="34" spans="1:18">
      <c r="A34" s="3">
        <v>0</v>
      </c>
      <c r="B34" s="3">
        <v>1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K34" s="4">
        <v>0</v>
      </c>
      <c r="L34" s="4">
        <v>1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</row>
    <row r="35" spans="1:18">
      <c r="A35" s="3">
        <v>0</v>
      </c>
      <c r="B35" s="3">
        <v>0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K35" s="4">
        <v>0</v>
      </c>
      <c r="L35" s="4">
        <v>0</v>
      </c>
      <c r="M35" s="4">
        <v>1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</row>
    <row r="36" spans="1:18">
      <c r="A36" s="3">
        <v>0</v>
      </c>
      <c r="B36" s="3">
        <v>0</v>
      </c>
      <c r="C36" s="3">
        <v>0</v>
      </c>
      <c r="D36" s="3">
        <v>1</v>
      </c>
      <c r="E36" s="3">
        <v>0</v>
      </c>
      <c r="F36" s="3">
        <v>0</v>
      </c>
      <c r="G36" s="3">
        <v>0</v>
      </c>
      <c r="H36" s="3">
        <v>0</v>
      </c>
      <c r="K36" s="4">
        <v>0</v>
      </c>
      <c r="L36" s="4">
        <v>0</v>
      </c>
      <c r="M36" s="4">
        <v>0</v>
      </c>
      <c r="N36" s="4">
        <v>1</v>
      </c>
      <c r="O36" s="4">
        <v>0</v>
      </c>
      <c r="P36" s="4">
        <v>0</v>
      </c>
      <c r="Q36" s="4">
        <v>0</v>
      </c>
      <c r="R36" s="4">
        <v>0</v>
      </c>
    </row>
    <row r="37" spans="1:18">
      <c r="A37" s="3">
        <v>0</v>
      </c>
      <c r="B37" s="3">
        <v>0</v>
      </c>
      <c r="C37" s="3">
        <v>0</v>
      </c>
      <c r="D37" s="3">
        <v>0</v>
      </c>
      <c r="E37" s="3">
        <v>1</v>
      </c>
      <c r="F37" s="3">
        <v>0</v>
      </c>
      <c r="G37" s="3">
        <v>0</v>
      </c>
      <c r="H37" s="3">
        <v>0</v>
      </c>
      <c r="K37" s="4">
        <v>0</v>
      </c>
      <c r="L37" s="4">
        <v>0</v>
      </c>
      <c r="M37" s="4">
        <v>0</v>
      </c>
      <c r="N37" s="4">
        <v>0</v>
      </c>
      <c r="O37" s="4">
        <v>1</v>
      </c>
      <c r="P37" s="4">
        <v>0</v>
      </c>
      <c r="Q37" s="4">
        <v>0</v>
      </c>
      <c r="R37" s="4">
        <v>0</v>
      </c>
    </row>
    <row r="38" spans="1:18">
      <c r="A38" s="3">
        <v>0</v>
      </c>
      <c r="B38" s="3">
        <v>0</v>
      </c>
      <c r="C38" s="3">
        <v>0</v>
      </c>
      <c r="D38" s="3">
        <v>0</v>
      </c>
      <c r="E38" s="3">
        <v>0</v>
      </c>
      <c r="F38" s="3">
        <v>1</v>
      </c>
      <c r="G38" s="3">
        <v>0</v>
      </c>
      <c r="H38" s="3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1</v>
      </c>
      <c r="Q38" s="4">
        <v>0</v>
      </c>
      <c r="R38" s="4">
        <v>0</v>
      </c>
    </row>
    <row r="39" spans="1:18">
      <c r="A39" s="3">
        <v>0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1</v>
      </c>
      <c r="H39" s="3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1</v>
      </c>
      <c r="R39" s="4">
        <v>0</v>
      </c>
    </row>
    <row r="40" spans="1:18">
      <c r="A40" s="3">
        <v>0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2022-10-21T08:54:49Z</dcterms:created>
  <dcterms:modified xsi:type="dcterms:W3CDTF">2022-10-21T09:49:06Z</dcterms:modified>
  <cp:category/>
  <cp:contentStatus/>
</cp:coreProperties>
</file>
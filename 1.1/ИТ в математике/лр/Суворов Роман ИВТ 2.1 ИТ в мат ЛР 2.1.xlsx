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yom\Downloads\Telegram Desktop\"/>
    </mc:Choice>
  </mc:AlternateContent>
  <xr:revisionPtr revIDLastSave="0" documentId="8_{8F96DB91-2CFB-49F4-B49A-46450B807205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B12" i="4"/>
  <c r="C12" i="4"/>
  <c r="D12" i="4"/>
  <c r="E12" i="4"/>
  <c r="F12" i="4"/>
  <c r="G12" i="4"/>
  <c r="H12" i="4"/>
  <c r="I12" i="4"/>
  <c r="J12" i="4"/>
  <c r="K12" i="4"/>
  <c r="L12" i="4"/>
  <c r="B13" i="4"/>
  <c r="C13" i="4"/>
  <c r="D13" i="4"/>
  <c r="E13" i="4"/>
  <c r="F13" i="4"/>
  <c r="G13" i="4"/>
  <c r="H13" i="4"/>
  <c r="I13" i="4"/>
  <c r="J13" i="4"/>
  <c r="K13" i="4"/>
  <c r="L13" i="4"/>
  <c r="B14" i="4"/>
  <c r="C14" i="4"/>
  <c r="D14" i="4"/>
  <c r="E14" i="4"/>
  <c r="F14" i="4"/>
  <c r="G14" i="4"/>
  <c r="H14" i="4"/>
  <c r="I14" i="4"/>
  <c r="J14" i="4"/>
  <c r="K14" i="4"/>
  <c r="L14" i="4"/>
  <c r="B15" i="4"/>
  <c r="C15" i="4"/>
  <c r="D15" i="4"/>
  <c r="E15" i="4"/>
  <c r="F15" i="4"/>
  <c r="G15" i="4"/>
  <c r="H15" i="4"/>
  <c r="I15" i="4"/>
  <c r="J15" i="4"/>
  <c r="K15" i="4"/>
  <c r="L15" i="4"/>
  <c r="C5" i="4"/>
  <c r="D5" i="4"/>
  <c r="E5" i="4"/>
  <c r="F5" i="4"/>
  <c r="G5" i="4"/>
  <c r="H5" i="4"/>
  <c r="I5" i="4"/>
  <c r="J5" i="4"/>
  <c r="K5" i="4"/>
  <c r="L5" i="4"/>
  <c r="B5" i="4"/>
  <c r="C88" i="2"/>
  <c r="D88" i="2"/>
  <c r="E88" i="2"/>
  <c r="F88" i="2"/>
  <c r="G88" i="2"/>
  <c r="H88" i="2"/>
  <c r="B88" i="2"/>
  <c r="C2" i="3"/>
  <c r="D2" i="3"/>
  <c r="E2" i="3"/>
  <c r="F2" i="3"/>
  <c r="G2" i="3"/>
  <c r="H2" i="3"/>
  <c r="I2" i="3"/>
  <c r="J2" i="3"/>
  <c r="K2" i="3"/>
  <c r="L2" i="3"/>
  <c r="C3" i="3"/>
  <c r="D3" i="3"/>
  <c r="E3" i="3"/>
  <c r="F3" i="3"/>
  <c r="G3" i="3"/>
  <c r="H3" i="3"/>
  <c r="I3" i="3"/>
  <c r="J3" i="3"/>
  <c r="K3" i="3"/>
  <c r="L3" i="3"/>
  <c r="C4" i="3"/>
  <c r="D4" i="3"/>
  <c r="E4" i="3"/>
  <c r="F4" i="3"/>
  <c r="G4" i="3"/>
  <c r="H4" i="3"/>
  <c r="I4" i="3"/>
  <c r="J4" i="3"/>
  <c r="K4" i="3"/>
  <c r="L4" i="3"/>
  <c r="C5" i="3"/>
  <c r="D5" i="3"/>
  <c r="E5" i="3"/>
  <c r="F5" i="3"/>
  <c r="G5" i="3"/>
  <c r="H5" i="3"/>
  <c r="I5" i="3"/>
  <c r="J5" i="3"/>
  <c r="K5" i="3"/>
  <c r="L5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B3" i="3"/>
  <c r="B4" i="3"/>
  <c r="B5" i="3"/>
  <c r="B6" i="3"/>
  <c r="B7" i="3"/>
  <c r="B8" i="3"/>
  <c r="B9" i="3"/>
  <c r="B10" i="3"/>
  <c r="B11" i="3"/>
  <c r="B12" i="3"/>
  <c r="B2" i="3"/>
  <c r="C66" i="2"/>
  <c r="D66" i="2"/>
  <c r="E66" i="2"/>
  <c r="F66" i="2"/>
  <c r="G66" i="2"/>
  <c r="H66" i="2"/>
  <c r="B6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B47" i="2"/>
  <c r="C25" i="2"/>
  <c r="D25" i="2"/>
  <c r="E25" i="2"/>
  <c r="F25" i="2"/>
  <c r="G25" i="2"/>
  <c r="H25" i="2"/>
  <c r="I25" i="2"/>
  <c r="J25" i="2"/>
  <c r="B25" i="2"/>
  <c r="L2" i="2"/>
  <c r="M2" i="2"/>
  <c r="N2" i="2"/>
  <c r="O2" i="2"/>
  <c r="P2" i="2"/>
  <c r="Q2" i="2"/>
  <c r="K2" i="2"/>
  <c r="C2" i="2"/>
  <c r="D2" i="2"/>
  <c r="E2" i="2"/>
  <c r="F2" i="2"/>
  <c r="G2" i="2"/>
  <c r="H2" i="2"/>
  <c r="B2" i="2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<sst xmlns="http://schemas.openxmlformats.org/spreadsheetml/2006/main" count="18" uniqueCount="5">
  <si>
    <t>k</t>
  </si>
  <si>
    <t>b</t>
  </si>
  <si>
    <t>x</t>
  </si>
  <si>
    <t>y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</si>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</sst>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kx +b</a:t>
            </a:r>
          </a:p>
        </c:rich>
      </c:tx>
      <c:overlay val="0"/>
      <c:spPr>
        <a:noFill/>
        <a:ln>
          <a:solidFill>
            <a:srgbClr val="D9E1F2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rgbClr val="ACB9CA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ACB9CA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1'!$B$5:$H$5</c:f>
              <c:numCache>
                <c:formatCode>General</c:formatCode>
                <c:ptCount val="7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18-4048-8B14-251D7A106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078423"/>
        <c:axId val="1742486056"/>
      </c:scatterChart>
      <c:valAx>
        <c:axId val="1684078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D9E1F2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86056"/>
        <c:crosses val="autoZero"/>
        <c:crossBetween val="midCat"/>
      </c:valAx>
      <c:valAx>
        <c:axId val="174248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D6DCE4"/>
          </a:solidFill>
          <a:ln w="9525" cap="flat" cmpd="sng" algn="ctr">
            <a:solidFill>
              <a:srgbClr val="B4C6E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078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2^x + 3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2'!$B$1:$H$1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2'!$B$2:$H$2</c:f>
              <c:numCache>
                <c:formatCode>General</c:formatCode>
                <c:ptCount val="7"/>
                <c:pt idx="0">
                  <c:v>3.125</c:v>
                </c:pt>
                <c:pt idx="1">
                  <c:v>3.25</c:v>
                </c:pt>
                <c:pt idx="2">
                  <c:v>3.5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E3-4076-AA00-5C337256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193608"/>
        <c:axId val="2022894920"/>
      </c:scatterChart>
      <c:valAx>
        <c:axId val="1789193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94920"/>
        <c:crosses val="autoZero"/>
        <c:crossBetween val="midCat"/>
      </c:valAx>
      <c:valAx>
        <c:axId val="202289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93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sqrt(x)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2'!$K$1:$Q$1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</c:numCache>
            </c:numRef>
          </c:xVal>
          <c:yVal>
            <c:numRef>
              <c:f>'задание 2'!$K$2:$Q$2</c:f>
              <c:numCache>
                <c:formatCode>General</c:formatCode>
                <c:ptCount val="7"/>
                <c:pt idx="0">
                  <c:v>0</c:v>
                </c:pt>
                <c:pt idx="1">
                  <c:v>1.7320508075688772</c:v>
                </c:pt>
                <c:pt idx="2">
                  <c:v>2.4494897427831779</c:v>
                </c:pt>
                <c:pt idx="3">
                  <c:v>3</c:v>
                </c:pt>
                <c:pt idx="4">
                  <c:v>3.4641016151377544</c:v>
                </c:pt>
                <c:pt idx="5">
                  <c:v>3.872983346207417</c:v>
                </c:pt>
                <c:pt idx="6">
                  <c:v>4.2426406871192848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E4-4D30-8F45-589BD800F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77575"/>
        <c:axId val="1082590567"/>
      </c:scatterChart>
      <c:valAx>
        <c:axId val="156477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90567"/>
        <c:crosses val="autoZero"/>
        <c:crossBetween val="midCat"/>
      </c:valAx>
      <c:valAx>
        <c:axId val="108259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7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7 - |x|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2'!$B$24:$J$24</c:f>
              <c:numCache>
                <c:formatCode>General</c:formatCode>
                <c:ptCount val="9"/>
                <c:pt idx="0">
                  <c:v>-5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</c:numCache>
            </c:numRef>
          </c:xVal>
          <c:yVal>
            <c:numRef>
              <c:f>'задание 2'!$B$25:$J$25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-2</c:v>
                </c:pt>
                <c:pt idx="8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0C-43DB-9ECA-77AD9267E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40823"/>
        <c:axId val="1853562456"/>
      </c:scatterChart>
      <c:valAx>
        <c:axId val="316540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62456"/>
        <c:crosses val="autoZero"/>
        <c:crossBetween val="midCat"/>
      </c:valAx>
      <c:valAx>
        <c:axId val="185356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40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1/x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2'!$B$46:$O$46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  <c:pt idx="5">
                  <c:v>21</c:v>
                </c:pt>
                <c:pt idx="6">
                  <c:v>25</c:v>
                </c:pt>
                <c:pt idx="7">
                  <c:v>29</c:v>
                </c:pt>
                <c:pt idx="8">
                  <c:v>33</c:v>
                </c:pt>
                <c:pt idx="9">
                  <c:v>37</c:v>
                </c:pt>
                <c:pt idx="10">
                  <c:v>41</c:v>
                </c:pt>
                <c:pt idx="11">
                  <c:v>45</c:v>
                </c:pt>
                <c:pt idx="12">
                  <c:v>49</c:v>
                </c:pt>
                <c:pt idx="13">
                  <c:v>53</c:v>
                </c:pt>
              </c:numCache>
            </c:numRef>
          </c:xVal>
          <c:yVal>
            <c:numRef>
              <c:f>'задание 2'!$B$47:$O$47</c:f>
              <c:numCache>
                <c:formatCode>General</c:formatCode>
                <c:ptCount val="14"/>
                <c:pt idx="0">
                  <c:v>1</c:v>
                </c:pt>
                <c:pt idx="1">
                  <c:v>0.2</c:v>
                </c:pt>
                <c:pt idx="2">
                  <c:v>0.1111111111111111</c:v>
                </c:pt>
                <c:pt idx="3">
                  <c:v>7.6923076923076927E-2</c:v>
                </c:pt>
                <c:pt idx="4">
                  <c:v>5.8823529411764705E-2</c:v>
                </c:pt>
                <c:pt idx="5">
                  <c:v>4.7619047619047616E-2</c:v>
                </c:pt>
                <c:pt idx="6">
                  <c:v>0.04</c:v>
                </c:pt>
                <c:pt idx="7">
                  <c:v>3.4482758620689655E-2</c:v>
                </c:pt>
                <c:pt idx="8">
                  <c:v>3.0303030303030304E-2</c:v>
                </c:pt>
                <c:pt idx="9">
                  <c:v>2.7027027027027029E-2</c:v>
                </c:pt>
                <c:pt idx="10">
                  <c:v>2.4390243902439025E-2</c:v>
                </c:pt>
                <c:pt idx="11">
                  <c:v>2.2222222222222223E-2</c:v>
                </c:pt>
                <c:pt idx="12">
                  <c:v>2.0408163265306121E-2</c:v>
                </c:pt>
                <c:pt idx="13">
                  <c:v>1.8867924528301886E-2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8-47A5-9101-E1F21C37B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27976"/>
        <c:axId val="1070662423"/>
      </c:scatterChart>
      <c:valAx>
        <c:axId val="173372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62423"/>
        <c:crosses val="autoZero"/>
        <c:crossBetween val="midCat"/>
      </c:valAx>
      <c:valAx>
        <c:axId val="107066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27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ln(x)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2'!$B$65:$H$65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</c:numCache>
            </c:numRef>
          </c:xVal>
          <c:yVal>
            <c:numRef>
              <c:f>'задание 2'!$B$66:$H$66</c:f>
              <c:numCache>
                <c:formatCode>General</c:formatCode>
                <c:ptCount val="7"/>
                <c:pt idx="0">
                  <c:v>-1.3862943611198906</c:v>
                </c:pt>
                <c:pt idx="1">
                  <c:v>-0.69314718055994529</c:v>
                </c:pt>
                <c:pt idx="2">
                  <c:v>-0.2876820724517809</c:v>
                </c:pt>
                <c:pt idx="3">
                  <c:v>0</c:v>
                </c:pt>
                <c:pt idx="4">
                  <c:v>0.22314355131420976</c:v>
                </c:pt>
                <c:pt idx="5">
                  <c:v>0.40546510810816438</c:v>
                </c:pt>
                <c:pt idx="6">
                  <c:v>0.55961578793542266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A3-46E5-BA78-27425B1E4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536087"/>
        <c:axId val="1615782103"/>
      </c:scatterChart>
      <c:valAx>
        <c:axId val="1166536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782103"/>
        <c:crosses val="autoZero"/>
        <c:crossBetween val="midCat"/>
      </c:valAx>
      <c:valAx>
        <c:axId val="1615782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36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линейной функции </a:t>
            </a:r>
            <a:r>
              <a:rPr lang="en-US"/>
              <a:t>y = ln(5)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2'!$B$87:$H$87</c:f>
              <c:numCache>
                <c:formatCode>General</c:formatCode>
                <c:ptCount val="7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</c:numCache>
            </c:numRef>
          </c:xVal>
          <c:yVal>
            <c:numRef>
              <c:f>'задание 2'!$B$88:$H$88</c:f>
              <c:numCache>
                <c:formatCode>General</c:formatCode>
                <c:ptCount val="7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9-48E0-BC28-7E63861C7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62616"/>
        <c:axId val="1436578648"/>
      </c:scatterChart>
      <c:valAx>
        <c:axId val="13026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78648"/>
        <c:crosses val="autoZero"/>
        <c:crossBetween val="midCat"/>
      </c:valAx>
      <c:valAx>
        <c:axId val="143657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Гиперболический параболоид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C-462C-8C32-6798647DD21F}"/>
            </c:ext>
          </c:extLst>
        </c:ser>
        <c:ser>
          <c:idx val="1"/>
          <c:order val="1"/>
          <c:tx>
            <c:strRef>
              <c:f>'задание 3'!$A$3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C-462C-8C32-6798647DD21F}"/>
            </c:ext>
          </c:extLst>
        </c:ser>
        <c:ser>
          <c:idx val="2"/>
          <c:order val="2"/>
          <c:tx>
            <c:strRef>
              <c:f>'задание 3'!$A$4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1C-462C-8C32-6798647DD21F}"/>
            </c:ext>
          </c:extLst>
        </c:ser>
        <c:ser>
          <c:idx val="3"/>
          <c:order val="3"/>
          <c:tx>
            <c:strRef>
              <c:f>'задание 3'!$A$5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1C-462C-8C32-6798647DD21F}"/>
            </c:ext>
          </c:extLst>
        </c:ser>
        <c:ser>
          <c:idx val="4"/>
          <c:order val="4"/>
          <c:tx>
            <c:strRef>
              <c:f>'задание 3'!$A$6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1C-462C-8C32-6798647DD21F}"/>
            </c:ext>
          </c:extLst>
        </c:ser>
        <c:ser>
          <c:idx val="5"/>
          <c:order val="5"/>
          <c:tx>
            <c:strRef>
              <c:f>'задание 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C-462C-8C32-6798647DD21F}"/>
            </c:ext>
          </c:extLst>
        </c:ser>
        <c:ser>
          <c:idx val="6"/>
          <c:order val="6"/>
          <c:tx>
            <c:strRef>
              <c:f>'задание 3'!$A$8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C-462C-8C32-6798647DD21F}"/>
            </c:ext>
          </c:extLst>
        </c:ser>
        <c:ser>
          <c:idx val="7"/>
          <c:order val="7"/>
          <c:tx>
            <c:strRef>
              <c:f>'задание 3'!$A$9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1C-462C-8C32-6798647DD21F}"/>
            </c:ext>
          </c:extLst>
        </c:ser>
        <c:ser>
          <c:idx val="8"/>
          <c:order val="8"/>
          <c:tx>
            <c:strRef>
              <c:f>'задание 3'!$A$10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1C-462C-8C32-6798647DD21F}"/>
            </c:ext>
          </c:extLst>
        </c:ser>
        <c:ser>
          <c:idx val="9"/>
          <c:order val="9"/>
          <c:tx>
            <c:strRef>
              <c:f>'задание 3'!$A$11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1C-462C-8C32-6798647DD21F}"/>
            </c:ext>
          </c:extLst>
        </c:ser>
        <c:ser>
          <c:idx val="10"/>
          <c:order val="10"/>
          <c:tx>
            <c:strRef>
              <c:f>'задание 3'!$A$12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1C-462C-8C32-6798647DD21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36690063"/>
        <c:axId val="743361327"/>
        <c:axId val="749080223"/>
      </c:surface3DChart>
      <c:catAx>
        <c:axId val="736690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61327"/>
        <c:crosses val="autoZero"/>
        <c:auto val="1"/>
        <c:lblAlgn val="ctr"/>
        <c:lblOffset val="100"/>
        <c:noMultiLvlLbl val="0"/>
      </c:catAx>
      <c:valAx>
        <c:axId val="7433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90063"/>
        <c:crosses val="autoZero"/>
        <c:crossBetween val="midCat"/>
      </c:valAx>
      <c:serAx>
        <c:axId val="7490802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613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Гиперболический</a:t>
            </a:r>
            <a:r>
              <a:rPr lang="ru-RU" baseline="0"/>
              <a:t> параболоид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4'!$A$5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4'!$B$5:$L$5</c:f>
              <c:numCache>
                <c:formatCode>General</c:formatCode>
                <c:ptCount val="11"/>
                <c:pt idx="0">
                  <c:v>-85.9375</c:v>
                </c:pt>
                <c:pt idx="1">
                  <c:v>-91</c:v>
                </c:pt>
                <c:pt idx="2">
                  <c:v>-94.9375</c:v>
                </c:pt>
                <c:pt idx="3">
                  <c:v>-97.75</c:v>
                </c:pt>
                <c:pt idx="4">
                  <c:v>-99.4375</c:v>
                </c:pt>
                <c:pt idx="5">
                  <c:v>-100</c:v>
                </c:pt>
                <c:pt idx="6">
                  <c:v>-99.4375</c:v>
                </c:pt>
                <c:pt idx="7">
                  <c:v>-97.75</c:v>
                </c:pt>
                <c:pt idx="8">
                  <c:v>-94.9375</c:v>
                </c:pt>
                <c:pt idx="9">
                  <c:v>-91</c:v>
                </c:pt>
                <c:pt idx="10">
                  <c:v>-85.9375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2-4489-917E-11A8DD24E894}"/>
            </c:ext>
          </c:extLst>
        </c:ser>
        <c:ser>
          <c:idx val="1"/>
          <c:order val="1"/>
          <c:tx>
            <c:strRef>
              <c:f>'задание 4'!$A$6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4'!$B$6:$L$6</c:f>
              <c:numCache>
                <c:formatCode>General</c:formatCode>
                <c:ptCount val="11"/>
                <c:pt idx="0">
                  <c:v>-49.9375</c:v>
                </c:pt>
                <c:pt idx="1">
                  <c:v>-55</c:v>
                </c:pt>
                <c:pt idx="2">
                  <c:v>-58.9375</c:v>
                </c:pt>
                <c:pt idx="3">
                  <c:v>-61.75</c:v>
                </c:pt>
                <c:pt idx="4">
                  <c:v>-63.4375</c:v>
                </c:pt>
                <c:pt idx="5">
                  <c:v>-64</c:v>
                </c:pt>
                <c:pt idx="6">
                  <c:v>-63.4375</c:v>
                </c:pt>
                <c:pt idx="7">
                  <c:v>-61.75</c:v>
                </c:pt>
                <c:pt idx="8">
                  <c:v>-58.9375</c:v>
                </c:pt>
                <c:pt idx="9">
                  <c:v>-55</c:v>
                </c:pt>
                <c:pt idx="10">
                  <c:v>-49.9375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2-4489-917E-11A8DD24E894}"/>
            </c:ext>
          </c:extLst>
        </c:ser>
        <c:ser>
          <c:idx val="2"/>
          <c:order val="2"/>
          <c:tx>
            <c:strRef>
              <c:f>'задание 4'!$A$7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4'!$B$7:$L$7</c:f>
              <c:numCache>
                <c:formatCode>General</c:formatCode>
                <c:ptCount val="11"/>
                <c:pt idx="0">
                  <c:v>-21.9375</c:v>
                </c:pt>
                <c:pt idx="1">
                  <c:v>-27</c:v>
                </c:pt>
                <c:pt idx="2">
                  <c:v>-30.9375</c:v>
                </c:pt>
                <c:pt idx="3">
                  <c:v>-33.75</c:v>
                </c:pt>
                <c:pt idx="4">
                  <c:v>-35.4375</c:v>
                </c:pt>
                <c:pt idx="5">
                  <c:v>-36</c:v>
                </c:pt>
                <c:pt idx="6">
                  <c:v>-35.4375</c:v>
                </c:pt>
                <c:pt idx="7">
                  <c:v>-33.75</c:v>
                </c:pt>
                <c:pt idx="8">
                  <c:v>-30.9375</c:v>
                </c:pt>
                <c:pt idx="9">
                  <c:v>-27</c:v>
                </c:pt>
                <c:pt idx="10">
                  <c:v>-21.9375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2-4489-917E-11A8DD24E894}"/>
            </c:ext>
          </c:extLst>
        </c:ser>
        <c:ser>
          <c:idx val="3"/>
          <c:order val="3"/>
          <c:tx>
            <c:strRef>
              <c:f>'задание 4'!$A$8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4'!$B$8:$L$8</c:f>
              <c:numCache>
                <c:formatCode>General</c:formatCode>
                <c:ptCount val="11"/>
                <c:pt idx="0">
                  <c:v>-1.9375</c:v>
                </c:pt>
                <c:pt idx="1">
                  <c:v>-7</c:v>
                </c:pt>
                <c:pt idx="2">
                  <c:v>-10.9375</c:v>
                </c:pt>
                <c:pt idx="3">
                  <c:v>-13.75</c:v>
                </c:pt>
                <c:pt idx="4">
                  <c:v>-15.4375</c:v>
                </c:pt>
                <c:pt idx="5">
                  <c:v>-16</c:v>
                </c:pt>
                <c:pt idx="6">
                  <c:v>-15.4375</c:v>
                </c:pt>
                <c:pt idx="7">
                  <c:v>-13.75</c:v>
                </c:pt>
                <c:pt idx="8">
                  <c:v>-10.9375</c:v>
                </c:pt>
                <c:pt idx="9">
                  <c:v>-7</c:v>
                </c:pt>
                <c:pt idx="10">
                  <c:v>-1.9375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2-4489-917E-11A8DD24E894}"/>
            </c:ext>
          </c:extLst>
        </c:ser>
        <c:ser>
          <c:idx val="4"/>
          <c:order val="4"/>
          <c:tx>
            <c:strRef>
              <c:f>'задание 4'!$A$9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4'!$B$9:$L$9</c:f>
              <c:numCache>
                <c:formatCode>General</c:formatCode>
                <c:ptCount val="11"/>
                <c:pt idx="0">
                  <c:v>10.0625</c:v>
                </c:pt>
                <c:pt idx="1">
                  <c:v>5</c:v>
                </c:pt>
                <c:pt idx="2">
                  <c:v>1.0625</c:v>
                </c:pt>
                <c:pt idx="3">
                  <c:v>-1.75</c:v>
                </c:pt>
                <c:pt idx="4">
                  <c:v>-3.4375</c:v>
                </c:pt>
                <c:pt idx="5">
                  <c:v>-4</c:v>
                </c:pt>
                <c:pt idx="6">
                  <c:v>-3.4375</c:v>
                </c:pt>
                <c:pt idx="7">
                  <c:v>-1.75</c:v>
                </c:pt>
                <c:pt idx="8">
                  <c:v>1.0625</c:v>
                </c:pt>
                <c:pt idx="9">
                  <c:v>5</c:v>
                </c:pt>
                <c:pt idx="10">
                  <c:v>10.0625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52-4489-917E-11A8DD24E894}"/>
            </c:ext>
          </c:extLst>
        </c:ser>
        <c:ser>
          <c:idx val="5"/>
          <c:order val="5"/>
          <c:tx>
            <c:strRef>
              <c:f>'задание 4'!$A$10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4'!$B$10:$L$10</c:f>
              <c:numCache>
                <c:formatCode>General</c:formatCode>
                <c:ptCount val="11"/>
                <c:pt idx="0">
                  <c:v>14.0625</c:v>
                </c:pt>
                <c:pt idx="1">
                  <c:v>9</c:v>
                </c:pt>
                <c:pt idx="2">
                  <c:v>5.0625</c:v>
                </c:pt>
                <c:pt idx="3">
                  <c:v>2.25</c:v>
                </c:pt>
                <c:pt idx="4">
                  <c:v>0.5625</c:v>
                </c:pt>
                <c:pt idx="5">
                  <c:v>0</c:v>
                </c:pt>
                <c:pt idx="6">
                  <c:v>0.5625</c:v>
                </c:pt>
                <c:pt idx="7">
                  <c:v>2.25</c:v>
                </c:pt>
                <c:pt idx="8">
                  <c:v>5.0625</c:v>
                </c:pt>
                <c:pt idx="9">
                  <c:v>9</c:v>
                </c:pt>
                <c:pt idx="10">
                  <c:v>14.0625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52-4489-917E-11A8DD24E894}"/>
            </c:ext>
          </c:extLst>
        </c:ser>
        <c:ser>
          <c:idx val="6"/>
          <c:order val="6"/>
          <c:tx>
            <c:strRef>
              <c:f>'задание 4'!$A$11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4'!$B$11:$L$11</c:f>
              <c:numCache>
                <c:formatCode>General</c:formatCode>
                <c:ptCount val="11"/>
                <c:pt idx="0">
                  <c:v>10.0625</c:v>
                </c:pt>
                <c:pt idx="1">
                  <c:v>5</c:v>
                </c:pt>
                <c:pt idx="2">
                  <c:v>1.0625</c:v>
                </c:pt>
                <c:pt idx="3">
                  <c:v>-1.75</c:v>
                </c:pt>
                <c:pt idx="4">
                  <c:v>-3.4375</c:v>
                </c:pt>
                <c:pt idx="5">
                  <c:v>-4</c:v>
                </c:pt>
                <c:pt idx="6">
                  <c:v>-3.4375</c:v>
                </c:pt>
                <c:pt idx="7">
                  <c:v>-1.75</c:v>
                </c:pt>
                <c:pt idx="8">
                  <c:v>1.0625</c:v>
                </c:pt>
                <c:pt idx="9">
                  <c:v>5</c:v>
                </c:pt>
                <c:pt idx="10">
                  <c:v>10.0625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52-4489-917E-11A8DD24E894}"/>
            </c:ext>
          </c:extLst>
        </c:ser>
        <c:ser>
          <c:idx val="7"/>
          <c:order val="7"/>
          <c:tx>
            <c:strRef>
              <c:f>'задание 4'!$A$12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4'!$B$12:$L$12</c:f>
              <c:numCache>
                <c:formatCode>General</c:formatCode>
                <c:ptCount val="11"/>
                <c:pt idx="0">
                  <c:v>-1.9375</c:v>
                </c:pt>
                <c:pt idx="1">
                  <c:v>-7</c:v>
                </c:pt>
                <c:pt idx="2">
                  <c:v>-10.9375</c:v>
                </c:pt>
                <c:pt idx="3">
                  <c:v>-13.75</c:v>
                </c:pt>
                <c:pt idx="4">
                  <c:v>-15.4375</c:v>
                </c:pt>
                <c:pt idx="5">
                  <c:v>-16</c:v>
                </c:pt>
                <c:pt idx="6">
                  <c:v>-15.4375</c:v>
                </c:pt>
                <c:pt idx="7">
                  <c:v>-13.75</c:v>
                </c:pt>
                <c:pt idx="8">
                  <c:v>-10.9375</c:v>
                </c:pt>
                <c:pt idx="9">
                  <c:v>-7</c:v>
                </c:pt>
                <c:pt idx="10">
                  <c:v>-1.9375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52-4489-917E-11A8DD24E894}"/>
            </c:ext>
          </c:extLst>
        </c:ser>
        <c:ser>
          <c:idx val="8"/>
          <c:order val="8"/>
          <c:tx>
            <c:strRef>
              <c:f>'задание 4'!$A$13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4'!$B$13:$L$13</c:f>
              <c:numCache>
                <c:formatCode>General</c:formatCode>
                <c:ptCount val="11"/>
                <c:pt idx="0">
                  <c:v>-21.9375</c:v>
                </c:pt>
                <c:pt idx="1">
                  <c:v>-27</c:v>
                </c:pt>
                <c:pt idx="2">
                  <c:v>-30.9375</c:v>
                </c:pt>
                <c:pt idx="3">
                  <c:v>-33.75</c:v>
                </c:pt>
                <c:pt idx="4">
                  <c:v>-35.4375</c:v>
                </c:pt>
                <c:pt idx="5">
                  <c:v>-36</c:v>
                </c:pt>
                <c:pt idx="6">
                  <c:v>-35.4375</c:v>
                </c:pt>
                <c:pt idx="7">
                  <c:v>-33.75</c:v>
                </c:pt>
                <c:pt idx="8">
                  <c:v>-30.9375</c:v>
                </c:pt>
                <c:pt idx="9">
                  <c:v>-27</c:v>
                </c:pt>
                <c:pt idx="10">
                  <c:v>-21.9375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52-4489-917E-11A8DD24E894}"/>
            </c:ext>
          </c:extLst>
        </c:ser>
        <c:ser>
          <c:idx val="9"/>
          <c:order val="9"/>
          <c:tx>
            <c:strRef>
              <c:f>'задание 4'!$A$14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4'!$B$14:$L$14</c:f>
              <c:numCache>
                <c:formatCode>General</c:formatCode>
                <c:ptCount val="11"/>
                <c:pt idx="0">
                  <c:v>-49.9375</c:v>
                </c:pt>
                <c:pt idx="1">
                  <c:v>-55</c:v>
                </c:pt>
                <c:pt idx="2">
                  <c:v>-58.9375</c:v>
                </c:pt>
                <c:pt idx="3">
                  <c:v>-61.75</c:v>
                </c:pt>
                <c:pt idx="4">
                  <c:v>-63.4375</c:v>
                </c:pt>
                <c:pt idx="5">
                  <c:v>-64</c:v>
                </c:pt>
                <c:pt idx="6">
                  <c:v>-63.4375</c:v>
                </c:pt>
                <c:pt idx="7">
                  <c:v>-61.75</c:v>
                </c:pt>
                <c:pt idx="8">
                  <c:v>-58.9375</c:v>
                </c:pt>
                <c:pt idx="9">
                  <c:v>-55</c:v>
                </c:pt>
                <c:pt idx="10">
                  <c:v>-49.9375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52-4489-917E-11A8DD24E894}"/>
            </c:ext>
          </c:extLst>
        </c:ser>
        <c:ser>
          <c:idx val="10"/>
          <c:order val="10"/>
          <c:tx>
            <c:strRef>
              <c:f>'задание 4'!$A$15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4'!$B$4:$L$4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4'!$B$15:$L$15</c:f>
              <c:numCache>
                <c:formatCode>General</c:formatCode>
                <c:ptCount val="11"/>
                <c:pt idx="0">
                  <c:v>-85.9375</c:v>
                </c:pt>
                <c:pt idx="1">
                  <c:v>-91</c:v>
                </c:pt>
                <c:pt idx="2">
                  <c:v>-94.9375</c:v>
                </c:pt>
                <c:pt idx="3">
                  <c:v>-97.75</c:v>
                </c:pt>
                <c:pt idx="4">
                  <c:v>-99.4375</c:v>
                </c:pt>
                <c:pt idx="5">
                  <c:v>-100</c:v>
                </c:pt>
                <c:pt idx="6">
                  <c:v>-99.4375</c:v>
                </c:pt>
                <c:pt idx="7">
                  <c:v>-97.75</c:v>
                </c:pt>
                <c:pt idx="8">
                  <c:v>-94.9375</c:v>
                </c:pt>
                <c:pt idx="9">
                  <c:v>-91</c:v>
                </c:pt>
                <c:pt idx="10">
                  <c:v>-85.9375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52-4489-917E-11A8DD24E89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43357583"/>
        <c:axId val="743361743"/>
        <c:axId val="749265599"/>
      </c:surface3DChart>
      <c:catAx>
        <c:axId val="743357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61743"/>
        <c:crosses val="autoZero"/>
        <c:auto val="1"/>
        <c:lblAlgn val="ctr"/>
        <c:lblOffset val="100"/>
        <c:noMultiLvlLbl val="0"/>
      </c:catAx>
      <c:valAx>
        <c:axId val="74336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57583"/>
        <c:crosses val="autoZero"/>
        <c:crossBetween val="midCat"/>
      </c:valAx>
      <c:serAx>
        <c:axId val="749265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6174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66675</xdr:rowOff>
    </xdr:from>
    <xdr:to>
      <xdr:col>7</xdr:col>
      <xdr:colOff>304800</xdr:colOff>
      <xdr:row>19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F53CD5B-F229-3148-8291-6B75780C3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BCD9DE-6D87-D6A5-9EC0-378ABA89B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38100</xdr:rowOff>
    </xdr:from>
    <xdr:to>
      <xdr:col>16</xdr:col>
      <xdr:colOff>304800</xdr:colOff>
      <xdr:row>16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87AD8C-1B86-BA6A-A565-E4B67BB31E34}"/>
            </a:ext>
            <a:ext uri="{147F2762-F138-4A5C-976F-8EAC2B608ADB}">
              <a16:predDERef xmlns:a16="http://schemas.microsoft.com/office/drawing/2014/main" pred="{EBBCD9DE-6D87-D6A5-9EC0-378ABA89B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47625</xdr:rowOff>
    </xdr:from>
    <xdr:to>
      <xdr:col>9</xdr:col>
      <xdr:colOff>38100</xdr:colOff>
      <xdr:row>40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426CAF3-A874-ECED-F77C-9AF000BB32AC}"/>
            </a:ext>
            <a:ext uri="{147F2762-F138-4A5C-976F-8EAC2B608ADB}">
              <a16:predDERef xmlns:a16="http://schemas.microsoft.com/office/drawing/2014/main" pred="{1187AD8C-1B86-BA6A-A565-E4B67BB31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542925</xdr:colOff>
      <xdr:row>47</xdr:row>
      <xdr:rowOff>0</xdr:rowOff>
    </xdr:from>
    <xdr:to>
      <xdr:col>8</xdr:col>
      <xdr:colOff>238125</xdr:colOff>
      <xdr:row>61</xdr:row>
      <xdr:rowOff>76200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31021CD-2901-ED7D-D461-2D47B2F320D8}"/>
            </a:ext>
            <a:ext uri="{147F2762-F138-4A5C-976F-8EAC2B608ADB}">
              <a16:predDERef xmlns:a16="http://schemas.microsoft.com/office/drawing/2014/main" pred="{2426CAF3-A874-ECED-F77C-9AF000BB3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67</xdr:row>
      <xdr:rowOff>38100</xdr:rowOff>
    </xdr:from>
    <xdr:to>
      <xdr:col>7</xdr:col>
      <xdr:colOff>542925</xdr:colOff>
      <xdr:row>81</xdr:row>
      <xdr:rowOff>114300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D761723A-09EF-B10C-6B06-43172D004BD5}"/>
            </a:ext>
            <a:ext uri="{147F2762-F138-4A5C-976F-8EAC2B608ADB}">
              <a16:predDERef xmlns:a16="http://schemas.microsoft.com/office/drawing/2014/main" pred="{A31021CD-2901-ED7D-D461-2D47B2F32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276225</xdr:colOff>
      <xdr:row>89</xdr:row>
      <xdr:rowOff>28575</xdr:rowOff>
    </xdr:from>
    <xdr:to>
      <xdr:col>7</xdr:col>
      <xdr:colOff>581025</xdr:colOff>
      <xdr:row>104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86A4BA0-E2B3-FA8B-A7A5-4BA3297B5CE6}"/>
            </a:ext>
            <a:ext uri="{147F2762-F138-4A5C-976F-8EAC2B608ADB}">
              <a16:predDERef xmlns:a16="http://schemas.microsoft.com/office/drawing/2014/main" pred="{D761723A-09EF-B10C-6B06-43172D004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22860</xdr:rowOff>
    </xdr:from>
    <xdr:to>
      <xdr:col>7</xdr:col>
      <xdr:colOff>304800</xdr:colOff>
      <xdr:row>28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269E20E-1B44-4718-B682-F4A188351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167640</xdr:rowOff>
    </xdr:from>
    <xdr:to>
      <xdr:col>7</xdr:col>
      <xdr:colOff>304800</xdr:colOff>
      <xdr:row>30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A38EB5-757C-4412-BC18-02CAE00AE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N9" sqref="N9"/>
    </sheetView>
  </sheetViews>
  <sheetFormatPr defaultRowHeight="14.45"/>
  <sheetData>
    <row r="1" spans="1:8">
      <c r="A1" s="1" t="s">
        <v>0</v>
      </c>
      <c r="B1" s="2">
        <v>2</v>
      </c>
    </row>
    <row r="2" spans="1:8">
      <c r="A2" s="1" t="s">
        <v>1</v>
      </c>
      <c r="B2" s="2">
        <v>3</v>
      </c>
    </row>
    <row r="4" spans="1:8">
      <c r="A4" s="1" t="s">
        <v>2</v>
      </c>
      <c r="B4" s="2">
        <v>-3</v>
      </c>
      <c r="C4" s="2">
        <v>-2</v>
      </c>
      <c r="D4" s="2">
        <v>-1</v>
      </c>
      <c r="E4" s="2">
        <v>0</v>
      </c>
      <c r="F4" s="2">
        <v>1</v>
      </c>
      <c r="G4" s="2">
        <v>2</v>
      </c>
      <c r="H4" s="2">
        <v>3</v>
      </c>
    </row>
    <row r="5" spans="1:8">
      <c r="A5" s="1" t="s">
        <v>3</v>
      </c>
      <c r="B5" s="2">
        <f>$B$1*B4+$B$2</f>
        <v>-3</v>
      </c>
      <c r="C5" s="2">
        <f t="shared" ref="C5:H5" si="0">$B$1*C4+$B$2</f>
        <v>-1</v>
      </c>
      <c r="D5" s="2">
        <f t="shared" si="0"/>
        <v>1</v>
      </c>
      <c r="E5" s="2">
        <f t="shared" si="0"/>
        <v>3</v>
      </c>
      <c r="F5" s="2">
        <f t="shared" si="0"/>
        <v>5</v>
      </c>
      <c r="G5" s="2">
        <f t="shared" si="0"/>
        <v>7</v>
      </c>
      <c r="H5" s="2">
        <f t="shared" si="0"/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C0E-D576-4643-9F2E-64EC4D604EFB}">
  <dimension ref="A1:Q89"/>
  <sheetViews>
    <sheetView workbookViewId="0">
      <selection activeCell="B87" sqref="B87:H88"/>
    </sheetView>
  </sheetViews>
  <sheetFormatPr defaultRowHeight="14.45"/>
  <sheetData>
    <row r="1" spans="1:17">
      <c r="A1" s="1" t="s">
        <v>2</v>
      </c>
      <c r="B1" s="2">
        <v>-3</v>
      </c>
      <c r="C1" s="2">
        <v>-2</v>
      </c>
      <c r="D1" s="2">
        <v>-1</v>
      </c>
      <c r="E1" s="2">
        <v>0</v>
      </c>
      <c r="F1" s="2">
        <v>1</v>
      </c>
      <c r="G1" s="2">
        <v>2</v>
      </c>
      <c r="H1" s="2">
        <v>3</v>
      </c>
      <c r="J1" s="1" t="s">
        <v>2</v>
      </c>
      <c r="K1" s="2">
        <v>0</v>
      </c>
      <c r="L1" s="2">
        <v>3</v>
      </c>
      <c r="M1" s="2">
        <v>6</v>
      </c>
      <c r="N1" s="2">
        <v>9</v>
      </c>
      <c r="O1" s="2">
        <v>12</v>
      </c>
      <c r="P1" s="2">
        <v>15</v>
      </c>
      <c r="Q1" s="2">
        <v>18</v>
      </c>
    </row>
    <row r="2" spans="1:17">
      <c r="A2" s="1" t="s">
        <v>3</v>
      </c>
      <c r="B2" s="2">
        <f>2^B1 + 3</f>
        <v>3.125</v>
      </c>
      <c r="C2" s="2">
        <f t="shared" ref="C2:H2" si="0">2^C1 + 3</f>
        <v>3.25</v>
      </c>
      <c r="D2" s="2">
        <f t="shared" si="0"/>
        <v>3.5</v>
      </c>
      <c r="E2" s="2">
        <f t="shared" si="0"/>
        <v>4</v>
      </c>
      <c r="F2" s="2">
        <f t="shared" si="0"/>
        <v>5</v>
      </c>
      <c r="G2" s="2">
        <f t="shared" si="0"/>
        <v>7</v>
      </c>
      <c r="H2" s="2">
        <f t="shared" si="0"/>
        <v>11</v>
      </c>
      <c r="J2" s="1" t="s">
        <v>3</v>
      </c>
      <c r="K2" s="2">
        <f>K1^0.5</f>
        <v>0</v>
      </c>
      <c r="L2" s="2">
        <f t="shared" ref="L2:Q2" si="1">L1^0.5</f>
        <v>1.7320508075688772</v>
      </c>
      <c r="M2" s="2">
        <f t="shared" si="1"/>
        <v>2.4494897427831779</v>
      </c>
      <c r="N2" s="2">
        <f t="shared" si="1"/>
        <v>3</v>
      </c>
      <c r="O2" s="2">
        <f t="shared" si="1"/>
        <v>3.4641016151377544</v>
      </c>
      <c r="P2" s="2">
        <f t="shared" si="1"/>
        <v>3.872983346207417</v>
      </c>
      <c r="Q2" s="2">
        <f t="shared" si="1"/>
        <v>4.2426406871192848</v>
      </c>
    </row>
    <row r="24" spans="1:10">
      <c r="A24" s="1" t="s">
        <v>2</v>
      </c>
      <c r="B24" s="2">
        <v>-5</v>
      </c>
      <c r="C24" s="2">
        <v>-3</v>
      </c>
      <c r="D24" s="2">
        <v>-1</v>
      </c>
      <c r="E24" s="2">
        <v>1</v>
      </c>
      <c r="F24" s="2">
        <v>3</v>
      </c>
      <c r="G24" s="2">
        <v>5</v>
      </c>
      <c r="H24" s="2">
        <v>7</v>
      </c>
      <c r="I24" s="2">
        <v>9</v>
      </c>
      <c r="J24" s="2">
        <v>11</v>
      </c>
    </row>
    <row r="25" spans="1:10">
      <c r="A25" s="1" t="s">
        <v>3</v>
      </c>
      <c r="B25" s="2">
        <f>7-ABS(B24)</f>
        <v>2</v>
      </c>
      <c r="C25" s="2">
        <f t="shared" ref="C25:J25" si="2">7-ABS(C24)</f>
        <v>4</v>
      </c>
      <c r="D25" s="2">
        <f t="shared" si="2"/>
        <v>6</v>
      </c>
      <c r="E25" s="2">
        <f t="shared" si="2"/>
        <v>6</v>
      </c>
      <c r="F25" s="2">
        <f t="shared" si="2"/>
        <v>4</v>
      </c>
      <c r="G25" s="2">
        <f t="shared" si="2"/>
        <v>2</v>
      </c>
      <c r="H25" s="2">
        <f t="shared" si="2"/>
        <v>0</v>
      </c>
      <c r="I25" s="2">
        <f t="shared" si="2"/>
        <v>-2</v>
      </c>
      <c r="J25" s="2">
        <f t="shared" si="2"/>
        <v>-4</v>
      </c>
    </row>
    <row r="45" spans="1:1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>
      <c r="A46" s="1" t="s">
        <v>2</v>
      </c>
      <c r="B46" s="2">
        <v>1</v>
      </c>
      <c r="C46" s="2">
        <v>5</v>
      </c>
      <c r="D46" s="2">
        <v>9</v>
      </c>
      <c r="E46" s="2">
        <v>13</v>
      </c>
      <c r="F46" s="2">
        <v>17</v>
      </c>
      <c r="G46" s="2">
        <v>21</v>
      </c>
      <c r="H46" s="2">
        <v>25</v>
      </c>
      <c r="I46" s="2">
        <v>29</v>
      </c>
      <c r="J46" s="2">
        <v>33</v>
      </c>
      <c r="K46" s="2">
        <v>37</v>
      </c>
      <c r="L46" s="2">
        <v>41</v>
      </c>
      <c r="M46" s="2">
        <v>45</v>
      </c>
      <c r="N46" s="2">
        <v>49</v>
      </c>
      <c r="O46" s="2">
        <v>53</v>
      </c>
    </row>
    <row r="47" spans="1:15">
      <c r="A47" s="1" t="s">
        <v>3</v>
      </c>
      <c r="B47" s="2">
        <f>1/B46</f>
        <v>1</v>
      </c>
      <c r="C47" s="2">
        <f t="shared" ref="C47:O47" si="3">1/C46</f>
        <v>0.2</v>
      </c>
      <c r="D47" s="2">
        <f t="shared" si="3"/>
        <v>0.1111111111111111</v>
      </c>
      <c r="E47" s="2">
        <f t="shared" si="3"/>
        <v>7.6923076923076927E-2</v>
      </c>
      <c r="F47" s="2">
        <f t="shared" si="3"/>
        <v>5.8823529411764705E-2</v>
      </c>
      <c r="G47" s="2">
        <f t="shared" si="3"/>
        <v>4.7619047619047616E-2</v>
      </c>
      <c r="H47" s="2">
        <f t="shared" si="3"/>
        <v>0.04</v>
      </c>
      <c r="I47" s="2">
        <f t="shared" si="3"/>
        <v>3.4482758620689655E-2</v>
      </c>
      <c r="J47" s="2">
        <f t="shared" si="3"/>
        <v>3.0303030303030304E-2</v>
      </c>
      <c r="K47" s="2">
        <f t="shared" si="3"/>
        <v>2.7027027027027029E-2</v>
      </c>
      <c r="L47" s="2">
        <f t="shared" si="3"/>
        <v>2.4390243902439025E-2</v>
      </c>
      <c r="M47" s="2">
        <f t="shared" si="3"/>
        <v>2.2222222222222223E-2</v>
      </c>
      <c r="N47" s="2">
        <f t="shared" si="3"/>
        <v>2.0408163265306121E-2</v>
      </c>
      <c r="O47" s="2">
        <f t="shared" si="3"/>
        <v>1.8867924528301886E-2</v>
      </c>
    </row>
    <row r="65" spans="1:8">
      <c r="A65" s="1" t="s">
        <v>2</v>
      </c>
      <c r="B65" s="2">
        <v>0.25</v>
      </c>
      <c r="C65" s="2">
        <v>0.5</v>
      </c>
      <c r="D65" s="2">
        <v>0.75</v>
      </c>
      <c r="E65" s="2">
        <v>1</v>
      </c>
      <c r="F65" s="2">
        <v>1.25</v>
      </c>
      <c r="G65" s="2">
        <v>1.5</v>
      </c>
      <c r="H65" s="2">
        <v>1.75</v>
      </c>
    </row>
    <row r="66" spans="1:8">
      <c r="A66" s="1" t="s">
        <v>3</v>
      </c>
      <c r="B66" s="2">
        <f xml:space="preserve"> LN(B65)</f>
        <v>-1.3862943611198906</v>
      </c>
      <c r="C66" s="2">
        <f t="shared" ref="C66:H66" si="4" xml:space="preserve"> LN(C65)</f>
        <v>-0.69314718055994529</v>
      </c>
      <c r="D66" s="2">
        <f t="shared" si="4"/>
        <v>-0.2876820724517809</v>
      </c>
      <c r="E66" s="2">
        <f t="shared" si="4"/>
        <v>0</v>
      </c>
      <c r="F66" s="2">
        <f t="shared" si="4"/>
        <v>0.22314355131420976</v>
      </c>
      <c r="G66" s="2">
        <f t="shared" si="4"/>
        <v>0.40546510810816438</v>
      </c>
      <c r="H66" s="2">
        <f t="shared" si="4"/>
        <v>0.55961578793542266</v>
      </c>
    </row>
    <row r="84" spans="1:8" ht="15"/>
    <row r="85" spans="1:8" ht="14.45" customHeight="1">
      <c r="A85" s="5"/>
      <c r="B85" s="7"/>
      <c r="C85" s="7"/>
      <c r="D85" s="7"/>
      <c r="E85" s="7"/>
      <c r="F85" s="7"/>
      <c r="G85" s="7"/>
      <c r="H85" s="7"/>
    </row>
    <row r="86" spans="1:8" ht="15"/>
    <row r="87" spans="1:8" ht="15">
      <c r="A87" s="1" t="s">
        <v>2</v>
      </c>
      <c r="B87" s="2">
        <v>-5</v>
      </c>
      <c r="C87" s="2">
        <v>-4</v>
      </c>
      <c r="D87" s="2">
        <v>-3</v>
      </c>
      <c r="E87" s="2">
        <v>-2</v>
      </c>
      <c r="F87" s="2">
        <v>-1</v>
      </c>
      <c r="G87" s="2">
        <v>0</v>
      </c>
      <c r="H87" s="2">
        <v>1</v>
      </c>
    </row>
    <row r="88" spans="1:8" ht="15">
      <c r="A88" s="1" t="s">
        <v>3</v>
      </c>
      <c r="B88" s="2">
        <f>LN(5)</f>
        <v>1.6094379124341003</v>
      </c>
      <c r="C88" s="2">
        <f t="shared" ref="C88:H88" si="5">LN(5)</f>
        <v>1.6094379124341003</v>
      </c>
      <c r="D88" s="2">
        <f t="shared" si="5"/>
        <v>1.6094379124341003</v>
      </c>
      <c r="E88" s="2">
        <f t="shared" si="5"/>
        <v>1.6094379124341003</v>
      </c>
      <c r="F88" s="2">
        <f t="shared" si="5"/>
        <v>1.6094379124341003</v>
      </c>
      <c r="G88" s="2">
        <f t="shared" si="5"/>
        <v>1.6094379124341003</v>
      </c>
      <c r="H88" s="2">
        <f t="shared" si="5"/>
        <v>1.6094379124341003</v>
      </c>
    </row>
    <row r="89" spans="1:8" ht="15"/>
  </sheetData>
  <mergeCells count="3">
    <mergeCell ref="B45:D45"/>
    <mergeCell ref="E45:O45"/>
    <mergeCell ref="B85:H8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7FF2-9600-4FE3-885A-6E2A4B4DEFC3}">
  <dimension ref="A1:L12"/>
  <sheetViews>
    <sheetView workbookViewId="0">
      <selection activeCell="L16" sqref="L16"/>
    </sheetView>
  </sheetViews>
  <sheetFormatPr defaultRowHeight="14.45"/>
  <sheetData>
    <row r="1" spans="1:12">
      <c r="B1" s="1">
        <v>-7.5</v>
      </c>
      <c r="C1" s="1">
        <v>-6</v>
      </c>
      <c r="D1" s="1">
        <v>-4.5</v>
      </c>
      <c r="E1" s="1">
        <v>-3</v>
      </c>
      <c r="F1" s="1">
        <v>-1.5</v>
      </c>
      <c r="G1" s="1">
        <v>0</v>
      </c>
      <c r="H1" s="1">
        <v>1.5</v>
      </c>
      <c r="I1" s="1">
        <v>3</v>
      </c>
      <c r="J1" s="1">
        <v>4.5</v>
      </c>
      <c r="K1" s="1">
        <v>6</v>
      </c>
      <c r="L1" s="1">
        <v>7.5</v>
      </c>
    </row>
    <row r="2" spans="1:12">
      <c r="A2" s="1">
        <v>-5</v>
      </c>
      <c r="B2" s="2">
        <f>(B$1)^2-($A2)^2</f>
        <v>31.25</v>
      </c>
      <c r="C2" s="2">
        <f t="shared" ref="C2:L2" si="0">(C$1)^2-($A2)^2</f>
        <v>11</v>
      </c>
      <c r="D2" s="2">
        <f t="shared" si="0"/>
        <v>-4.75</v>
      </c>
      <c r="E2" s="2">
        <f t="shared" si="0"/>
        <v>-16</v>
      </c>
      <c r="F2" s="2">
        <f t="shared" si="0"/>
        <v>-22.75</v>
      </c>
      <c r="G2" s="2">
        <f t="shared" si="0"/>
        <v>-25</v>
      </c>
      <c r="H2" s="2">
        <f t="shared" si="0"/>
        <v>-22.75</v>
      </c>
      <c r="I2" s="2">
        <f t="shared" si="0"/>
        <v>-16</v>
      </c>
      <c r="J2" s="2">
        <f t="shared" si="0"/>
        <v>-4.75</v>
      </c>
      <c r="K2" s="2">
        <f t="shared" si="0"/>
        <v>11</v>
      </c>
      <c r="L2" s="2">
        <f t="shared" si="0"/>
        <v>31.25</v>
      </c>
    </row>
    <row r="3" spans="1:12">
      <c r="A3" s="1">
        <v>-4</v>
      </c>
      <c r="B3" s="2">
        <f t="shared" ref="B3:L12" si="1">(B$1)^2-($A3)^2</f>
        <v>40.25</v>
      </c>
      <c r="C3" s="2">
        <f t="shared" si="1"/>
        <v>20</v>
      </c>
      <c r="D3" s="2">
        <f t="shared" si="1"/>
        <v>4.25</v>
      </c>
      <c r="E3" s="2">
        <f t="shared" si="1"/>
        <v>-7</v>
      </c>
      <c r="F3" s="2">
        <f t="shared" si="1"/>
        <v>-13.75</v>
      </c>
      <c r="G3" s="2">
        <f t="shared" si="1"/>
        <v>-16</v>
      </c>
      <c r="H3" s="2">
        <f t="shared" si="1"/>
        <v>-13.75</v>
      </c>
      <c r="I3" s="2">
        <f t="shared" si="1"/>
        <v>-7</v>
      </c>
      <c r="J3" s="2">
        <f t="shared" si="1"/>
        <v>4.25</v>
      </c>
      <c r="K3" s="2">
        <f t="shared" si="1"/>
        <v>20</v>
      </c>
      <c r="L3" s="2">
        <f t="shared" si="1"/>
        <v>40.25</v>
      </c>
    </row>
    <row r="4" spans="1:12">
      <c r="A4" s="1">
        <v>-3</v>
      </c>
      <c r="B4" s="2">
        <f t="shared" si="1"/>
        <v>47.25</v>
      </c>
      <c r="C4" s="2">
        <f t="shared" si="1"/>
        <v>27</v>
      </c>
      <c r="D4" s="2">
        <f t="shared" si="1"/>
        <v>11.25</v>
      </c>
      <c r="E4" s="2">
        <f t="shared" si="1"/>
        <v>0</v>
      </c>
      <c r="F4" s="2">
        <f t="shared" si="1"/>
        <v>-6.75</v>
      </c>
      <c r="G4" s="2">
        <f t="shared" si="1"/>
        <v>-9</v>
      </c>
      <c r="H4" s="2">
        <f t="shared" si="1"/>
        <v>-6.75</v>
      </c>
      <c r="I4" s="2">
        <f t="shared" si="1"/>
        <v>0</v>
      </c>
      <c r="J4" s="2">
        <f t="shared" si="1"/>
        <v>11.25</v>
      </c>
      <c r="K4" s="2">
        <f t="shared" si="1"/>
        <v>27</v>
      </c>
      <c r="L4" s="2">
        <f t="shared" si="1"/>
        <v>47.25</v>
      </c>
    </row>
    <row r="5" spans="1:12">
      <c r="A5" s="1">
        <v>-2</v>
      </c>
      <c r="B5" s="2">
        <f t="shared" si="1"/>
        <v>52.25</v>
      </c>
      <c r="C5" s="2">
        <f t="shared" si="1"/>
        <v>32</v>
      </c>
      <c r="D5" s="2">
        <f t="shared" si="1"/>
        <v>16.25</v>
      </c>
      <c r="E5" s="2">
        <f t="shared" si="1"/>
        <v>5</v>
      </c>
      <c r="F5" s="2">
        <f t="shared" si="1"/>
        <v>-1.75</v>
      </c>
      <c r="G5" s="2">
        <f t="shared" si="1"/>
        <v>-4</v>
      </c>
      <c r="H5" s="2">
        <f t="shared" si="1"/>
        <v>-1.75</v>
      </c>
      <c r="I5" s="2">
        <f t="shared" si="1"/>
        <v>5</v>
      </c>
      <c r="J5" s="2">
        <f t="shared" si="1"/>
        <v>16.25</v>
      </c>
      <c r="K5" s="2">
        <f t="shared" si="1"/>
        <v>32</v>
      </c>
      <c r="L5" s="2">
        <f t="shared" si="1"/>
        <v>52.25</v>
      </c>
    </row>
    <row r="6" spans="1:12">
      <c r="A6" s="1">
        <v>-1</v>
      </c>
      <c r="B6" s="2">
        <f t="shared" si="1"/>
        <v>55.25</v>
      </c>
      <c r="C6" s="2">
        <f t="shared" si="1"/>
        <v>35</v>
      </c>
      <c r="D6" s="2">
        <f t="shared" si="1"/>
        <v>19.25</v>
      </c>
      <c r="E6" s="2">
        <f t="shared" si="1"/>
        <v>8</v>
      </c>
      <c r="F6" s="2">
        <f t="shared" si="1"/>
        <v>1.25</v>
      </c>
      <c r="G6" s="2">
        <f t="shared" si="1"/>
        <v>-1</v>
      </c>
      <c r="H6" s="2">
        <f t="shared" si="1"/>
        <v>1.25</v>
      </c>
      <c r="I6" s="2">
        <f t="shared" si="1"/>
        <v>8</v>
      </c>
      <c r="J6" s="2">
        <f t="shared" si="1"/>
        <v>19.25</v>
      </c>
      <c r="K6" s="2">
        <f t="shared" si="1"/>
        <v>35</v>
      </c>
      <c r="L6" s="2">
        <f t="shared" si="1"/>
        <v>55.25</v>
      </c>
    </row>
    <row r="7" spans="1:12">
      <c r="A7" s="1">
        <v>0</v>
      </c>
      <c r="B7" s="2">
        <f t="shared" si="1"/>
        <v>56.25</v>
      </c>
      <c r="C7" s="2">
        <f t="shared" si="1"/>
        <v>36</v>
      </c>
      <c r="D7" s="2">
        <f t="shared" si="1"/>
        <v>20.25</v>
      </c>
      <c r="E7" s="2">
        <f t="shared" si="1"/>
        <v>9</v>
      </c>
      <c r="F7" s="2">
        <f t="shared" si="1"/>
        <v>2.25</v>
      </c>
      <c r="G7" s="2">
        <f t="shared" si="1"/>
        <v>0</v>
      </c>
      <c r="H7" s="2">
        <f t="shared" si="1"/>
        <v>2.25</v>
      </c>
      <c r="I7" s="2">
        <f t="shared" si="1"/>
        <v>9</v>
      </c>
      <c r="J7" s="2">
        <f t="shared" si="1"/>
        <v>20.25</v>
      </c>
      <c r="K7" s="2">
        <f t="shared" si="1"/>
        <v>36</v>
      </c>
      <c r="L7" s="2">
        <f t="shared" si="1"/>
        <v>56.25</v>
      </c>
    </row>
    <row r="8" spans="1:12">
      <c r="A8" s="1">
        <v>1</v>
      </c>
      <c r="B8" s="2">
        <f t="shared" si="1"/>
        <v>55.25</v>
      </c>
      <c r="C8" s="2">
        <f t="shared" si="1"/>
        <v>35</v>
      </c>
      <c r="D8" s="2">
        <f t="shared" si="1"/>
        <v>19.25</v>
      </c>
      <c r="E8" s="2">
        <f t="shared" si="1"/>
        <v>8</v>
      </c>
      <c r="F8" s="2">
        <f t="shared" si="1"/>
        <v>1.25</v>
      </c>
      <c r="G8" s="2">
        <f t="shared" si="1"/>
        <v>-1</v>
      </c>
      <c r="H8" s="2">
        <f t="shared" si="1"/>
        <v>1.25</v>
      </c>
      <c r="I8" s="2">
        <f t="shared" si="1"/>
        <v>8</v>
      </c>
      <c r="J8" s="2">
        <f t="shared" si="1"/>
        <v>19.25</v>
      </c>
      <c r="K8" s="2">
        <f t="shared" si="1"/>
        <v>35</v>
      </c>
      <c r="L8" s="2">
        <f t="shared" si="1"/>
        <v>55.25</v>
      </c>
    </row>
    <row r="9" spans="1:12">
      <c r="A9" s="1">
        <v>2</v>
      </c>
      <c r="B9" s="2">
        <f t="shared" si="1"/>
        <v>52.25</v>
      </c>
      <c r="C9" s="2">
        <f t="shared" si="1"/>
        <v>32</v>
      </c>
      <c r="D9" s="2">
        <f t="shared" si="1"/>
        <v>16.25</v>
      </c>
      <c r="E9" s="2">
        <f t="shared" si="1"/>
        <v>5</v>
      </c>
      <c r="F9" s="2">
        <f t="shared" si="1"/>
        <v>-1.75</v>
      </c>
      <c r="G9" s="2">
        <f t="shared" si="1"/>
        <v>-4</v>
      </c>
      <c r="H9" s="2">
        <f t="shared" si="1"/>
        <v>-1.75</v>
      </c>
      <c r="I9" s="2">
        <f t="shared" si="1"/>
        <v>5</v>
      </c>
      <c r="J9" s="2">
        <f t="shared" si="1"/>
        <v>16.25</v>
      </c>
      <c r="K9" s="2">
        <f t="shared" si="1"/>
        <v>32</v>
      </c>
      <c r="L9" s="2">
        <f t="shared" si="1"/>
        <v>52.25</v>
      </c>
    </row>
    <row r="10" spans="1:12">
      <c r="A10" s="1">
        <v>3</v>
      </c>
      <c r="B10" s="2">
        <f t="shared" si="1"/>
        <v>47.25</v>
      </c>
      <c r="C10" s="2">
        <f t="shared" si="1"/>
        <v>27</v>
      </c>
      <c r="D10" s="2">
        <f t="shared" si="1"/>
        <v>11.25</v>
      </c>
      <c r="E10" s="2">
        <f t="shared" si="1"/>
        <v>0</v>
      </c>
      <c r="F10" s="2">
        <f t="shared" si="1"/>
        <v>-6.75</v>
      </c>
      <c r="G10" s="2">
        <f t="shared" si="1"/>
        <v>-9</v>
      </c>
      <c r="H10" s="2">
        <f t="shared" si="1"/>
        <v>-6.75</v>
      </c>
      <c r="I10" s="2">
        <f t="shared" si="1"/>
        <v>0</v>
      </c>
      <c r="J10" s="2">
        <f t="shared" si="1"/>
        <v>11.25</v>
      </c>
      <c r="K10" s="2">
        <f t="shared" si="1"/>
        <v>27</v>
      </c>
      <c r="L10" s="2">
        <f t="shared" si="1"/>
        <v>47.25</v>
      </c>
    </row>
    <row r="11" spans="1:12">
      <c r="A11" s="1">
        <v>4</v>
      </c>
      <c r="B11" s="2">
        <f t="shared" si="1"/>
        <v>40.25</v>
      </c>
      <c r="C11" s="2">
        <f t="shared" si="1"/>
        <v>20</v>
      </c>
      <c r="D11" s="2">
        <f t="shared" si="1"/>
        <v>4.25</v>
      </c>
      <c r="E11" s="2">
        <f t="shared" si="1"/>
        <v>-7</v>
      </c>
      <c r="F11" s="2">
        <f t="shared" si="1"/>
        <v>-13.75</v>
      </c>
      <c r="G11" s="2">
        <f t="shared" si="1"/>
        <v>-16</v>
      </c>
      <c r="H11" s="2">
        <f t="shared" si="1"/>
        <v>-13.75</v>
      </c>
      <c r="I11" s="2">
        <f t="shared" si="1"/>
        <v>-7</v>
      </c>
      <c r="J11" s="2">
        <f t="shared" si="1"/>
        <v>4.25</v>
      </c>
      <c r="K11" s="2">
        <f t="shared" si="1"/>
        <v>20</v>
      </c>
      <c r="L11" s="2">
        <f t="shared" si="1"/>
        <v>40.25</v>
      </c>
    </row>
    <row r="12" spans="1:12">
      <c r="A12" s="1">
        <v>5</v>
      </c>
      <c r="B12" s="2">
        <f t="shared" si="1"/>
        <v>31.25</v>
      </c>
      <c r="C12" s="2">
        <f t="shared" si="1"/>
        <v>11</v>
      </c>
      <c r="D12" s="2">
        <f t="shared" si="1"/>
        <v>-4.75</v>
      </c>
      <c r="E12" s="2">
        <f t="shared" si="1"/>
        <v>-16</v>
      </c>
      <c r="F12" s="2">
        <f t="shared" si="1"/>
        <v>-22.75</v>
      </c>
      <c r="G12" s="2">
        <f t="shared" si="1"/>
        <v>-25</v>
      </c>
      <c r="H12" s="2">
        <f t="shared" si="1"/>
        <v>-22.75</v>
      </c>
      <c r="I12" s="2">
        <f t="shared" si="1"/>
        <v>-16</v>
      </c>
      <c r="J12" s="2">
        <f t="shared" si="1"/>
        <v>-4.75</v>
      </c>
      <c r="K12" s="2">
        <f t="shared" si="1"/>
        <v>11</v>
      </c>
      <c r="L12" s="2">
        <f t="shared" si="1"/>
        <v>31.25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1BB4-9C64-476A-9503-E2E0D716AD67}">
  <dimension ref="A1:L15"/>
  <sheetViews>
    <sheetView tabSelected="1" workbookViewId="0">
      <selection activeCell="B5" sqref="B5:L15"/>
    </sheetView>
  </sheetViews>
  <sheetFormatPr defaultRowHeight="14.45"/>
  <sheetData>
    <row r="1" spans="1:12">
      <c r="A1" s="3" t="s">
        <v>4</v>
      </c>
      <c r="B1" s="4">
        <v>2</v>
      </c>
    </row>
    <row r="2" spans="1:12">
      <c r="A2" s="3" t="s">
        <v>1</v>
      </c>
      <c r="B2" s="4">
        <v>0.5</v>
      </c>
    </row>
    <row r="4" spans="1:12">
      <c r="B4" s="1">
        <v>-7.5</v>
      </c>
      <c r="C4" s="1">
        <v>-6</v>
      </c>
      <c r="D4" s="1">
        <v>-4.5</v>
      </c>
      <c r="E4" s="1">
        <v>-3</v>
      </c>
      <c r="F4" s="1">
        <v>-1.5</v>
      </c>
      <c r="G4" s="1">
        <v>0</v>
      </c>
      <c r="H4" s="1">
        <v>1.5</v>
      </c>
      <c r="I4" s="1">
        <v>3</v>
      </c>
      <c r="J4" s="1">
        <v>4.5</v>
      </c>
      <c r="K4" s="1">
        <v>6</v>
      </c>
      <c r="L4" s="1">
        <v>7.5</v>
      </c>
    </row>
    <row r="5" spans="1:12">
      <c r="A5" s="1">
        <v>-5</v>
      </c>
      <c r="B5" s="2">
        <f>((B$4)^2 / $B$1^2) - (($A5)^2 / $B$2^2)</f>
        <v>-85.9375</v>
      </c>
      <c r="C5" s="2">
        <f t="shared" ref="C5:L15" si="0">((C$4)^2 / $B$1^2) - (($A5)^2 / $B$2^2)</f>
        <v>-91</v>
      </c>
      <c r="D5" s="2">
        <f t="shared" si="0"/>
        <v>-94.9375</v>
      </c>
      <c r="E5" s="2">
        <f t="shared" si="0"/>
        <v>-97.75</v>
      </c>
      <c r="F5" s="2">
        <f t="shared" si="0"/>
        <v>-99.4375</v>
      </c>
      <c r="G5" s="2">
        <f t="shared" si="0"/>
        <v>-100</v>
      </c>
      <c r="H5" s="2">
        <f t="shared" si="0"/>
        <v>-99.4375</v>
      </c>
      <c r="I5" s="2">
        <f t="shared" si="0"/>
        <v>-97.75</v>
      </c>
      <c r="J5" s="2">
        <f t="shared" si="0"/>
        <v>-94.9375</v>
      </c>
      <c r="K5" s="2">
        <f t="shared" si="0"/>
        <v>-91</v>
      </c>
      <c r="L5" s="2">
        <f t="shared" si="0"/>
        <v>-85.9375</v>
      </c>
    </row>
    <row r="6" spans="1:12">
      <c r="A6" s="1">
        <v>-4</v>
      </c>
      <c r="B6" s="2">
        <f t="shared" ref="B6:B15" si="1">((B$4)^2 / $B$1^2) - (($A6)^2 / $B$2^2)</f>
        <v>-49.9375</v>
      </c>
      <c r="C6" s="2">
        <f t="shared" si="0"/>
        <v>-55</v>
      </c>
      <c r="D6" s="2">
        <f t="shared" si="0"/>
        <v>-58.9375</v>
      </c>
      <c r="E6" s="2">
        <f t="shared" si="0"/>
        <v>-61.75</v>
      </c>
      <c r="F6" s="2">
        <f t="shared" si="0"/>
        <v>-63.4375</v>
      </c>
      <c r="G6" s="2">
        <f t="shared" si="0"/>
        <v>-64</v>
      </c>
      <c r="H6" s="2">
        <f t="shared" si="0"/>
        <v>-63.4375</v>
      </c>
      <c r="I6" s="2">
        <f t="shared" si="0"/>
        <v>-61.75</v>
      </c>
      <c r="J6" s="2">
        <f t="shared" si="0"/>
        <v>-58.9375</v>
      </c>
      <c r="K6" s="2">
        <f t="shared" si="0"/>
        <v>-55</v>
      </c>
      <c r="L6" s="2">
        <f t="shared" si="0"/>
        <v>-49.9375</v>
      </c>
    </row>
    <row r="7" spans="1:12">
      <c r="A7" s="1">
        <v>-3</v>
      </c>
      <c r="B7" s="2">
        <f t="shared" si="1"/>
        <v>-21.9375</v>
      </c>
      <c r="C7" s="2">
        <f t="shared" si="0"/>
        <v>-27</v>
      </c>
      <c r="D7" s="2">
        <f t="shared" si="0"/>
        <v>-30.9375</v>
      </c>
      <c r="E7" s="2">
        <f t="shared" si="0"/>
        <v>-33.75</v>
      </c>
      <c r="F7" s="2">
        <f t="shared" si="0"/>
        <v>-35.4375</v>
      </c>
      <c r="G7" s="2">
        <f t="shared" si="0"/>
        <v>-36</v>
      </c>
      <c r="H7" s="2">
        <f t="shared" si="0"/>
        <v>-35.4375</v>
      </c>
      <c r="I7" s="2">
        <f t="shared" si="0"/>
        <v>-33.75</v>
      </c>
      <c r="J7" s="2">
        <f t="shared" si="0"/>
        <v>-30.9375</v>
      </c>
      <c r="K7" s="2">
        <f t="shared" si="0"/>
        <v>-27</v>
      </c>
      <c r="L7" s="2">
        <f t="shared" si="0"/>
        <v>-21.9375</v>
      </c>
    </row>
    <row r="8" spans="1:12">
      <c r="A8" s="1">
        <v>-2</v>
      </c>
      <c r="B8" s="2">
        <f t="shared" si="1"/>
        <v>-1.9375</v>
      </c>
      <c r="C8" s="2">
        <f t="shared" si="0"/>
        <v>-7</v>
      </c>
      <c r="D8" s="2">
        <f t="shared" si="0"/>
        <v>-10.9375</v>
      </c>
      <c r="E8" s="2">
        <f t="shared" si="0"/>
        <v>-13.75</v>
      </c>
      <c r="F8" s="2">
        <f t="shared" si="0"/>
        <v>-15.4375</v>
      </c>
      <c r="G8" s="2">
        <f t="shared" si="0"/>
        <v>-16</v>
      </c>
      <c r="H8" s="2">
        <f t="shared" si="0"/>
        <v>-15.4375</v>
      </c>
      <c r="I8" s="2">
        <f t="shared" si="0"/>
        <v>-13.75</v>
      </c>
      <c r="J8" s="2">
        <f t="shared" si="0"/>
        <v>-10.9375</v>
      </c>
      <c r="K8" s="2">
        <f t="shared" si="0"/>
        <v>-7</v>
      </c>
      <c r="L8" s="2">
        <f t="shared" si="0"/>
        <v>-1.9375</v>
      </c>
    </row>
    <row r="9" spans="1:12">
      <c r="A9" s="1">
        <v>-1</v>
      </c>
      <c r="B9" s="2">
        <f t="shared" si="1"/>
        <v>10.0625</v>
      </c>
      <c r="C9" s="2">
        <f t="shared" si="0"/>
        <v>5</v>
      </c>
      <c r="D9" s="2">
        <f t="shared" si="0"/>
        <v>1.0625</v>
      </c>
      <c r="E9" s="2">
        <f t="shared" si="0"/>
        <v>-1.75</v>
      </c>
      <c r="F9" s="2">
        <f t="shared" si="0"/>
        <v>-3.4375</v>
      </c>
      <c r="G9" s="2">
        <f t="shared" si="0"/>
        <v>-4</v>
      </c>
      <c r="H9" s="2">
        <f t="shared" si="0"/>
        <v>-3.4375</v>
      </c>
      <c r="I9" s="2">
        <f t="shared" si="0"/>
        <v>-1.75</v>
      </c>
      <c r="J9" s="2">
        <f t="shared" si="0"/>
        <v>1.0625</v>
      </c>
      <c r="K9" s="2">
        <f t="shared" si="0"/>
        <v>5</v>
      </c>
      <c r="L9" s="2">
        <f t="shared" si="0"/>
        <v>10.0625</v>
      </c>
    </row>
    <row r="10" spans="1:12">
      <c r="A10" s="1">
        <v>0</v>
      </c>
      <c r="B10" s="2">
        <f t="shared" si="1"/>
        <v>14.0625</v>
      </c>
      <c r="C10" s="2">
        <f t="shared" si="0"/>
        <v>9</v>
      </c>
      <c r="D10" s="2">
        <f t="shared" si="0"/>
        <v>5.0625</v>
      </c>
      <c r="E10" s="2">
        <f t="shared" si="0"/>
        <v>2.25</v>
      </c>
      <c r="F10" s="2">
        <f t="shared" si="0"/>
        <v>0.5625</v>
      </c>
      <c r="G10" s="2">
        <f t="shared" si="0"/>
        <v>0</v>
      </c>
      <c r="H10" s="2">
        <f t="shared" si="0"/>
        <v>0.5625</v>
      </c>
      <c r="I10" s="2">
        <f t="shared" si="0"/>
        <v>2.25</v>
      </c>
      <c r="J10" s="2">
        <f t="shared" si="0"/>
        <v>5.0625</v>
      </c>
      <c r="K10" s="2">
        <f t="shared" si="0"/>
        <v>9</v>
      </c>
      <c r="L10" s="2">
        <f t="shared" si="0"/>
        <v>14.0625</v>
      </c>
    </row>
    <row r="11" spans="1:12">
      <c r="A11" s="1">
        <v>1</v>
      </c>
      <c r="B11" s="2">
        <f t="shared" si="1"/>
        <v>10.0625</v>
      </c>
      <c r="C11" s="2">
        <f t="shared" si="0"/>
        <v>5</v>
      </c>
      <c r="D11" s="2">
        <f t="shared" si="0"/>
        <v>1.0625</v>
      </c>
      <c r="E11" s="2">
        <f t="shared" si="0"/>
        <v>-1.75</v>
      </c>
      <c r="F11" s="2">
        <f t="shared" si="0"/>
        <v>-3.4375</v>
      </c>
      <c r="G11" s="2">
        <f t="shared" si="0"/>
        <v>-4</v>
      </c>
      <c r="H11" s="2">
        <f t="shared" si="0"/>
        <v>-3.4375</v>
      </c>
      <c r="I11" s="2">
        <f t="shared" si="0"/>
        <v>-1.75</v>
      </c>
      <c r="J11" s="2">
        <f t="shared" si="0"/>
        <v>1.0625</v>
      </c>
      <c r="K11" s="2">
        <f t="shared" si="0"/>
        <v>5</v>
      </c>
      <c r="L11" s="2">
        <f t="shared" si="0"/>
        <v>10.0625</v>
      </c>
    </row>
    <row r="12" spans="1:12">
      <c r="A12" s="1">
        <v>2</v>
      </c>
      <c r="B12" s="2">
        <f t="shared" si="1"/>
        <v>-1.9375</v>
      </c>
      <c r="C12" s="2">
        <f t="shared" si="0"/>
        <v>-7</v>
      </c>
      <c r="D12" s="2">
        <f t="shared" si="0"/>
        <v>-10.9375</v>
      </c>
      <c r="E12" s="2">
        <f t="shared" si="0"/>
        <v>-13.75</v>
      </c>
      <c r="F12" s="2">
        <f t="shared" si="0"/>
        <v>-15.4375</v>
      </c>
      <c r="G12" s="2">
        <f t="shared" si="0"/>
        <v>-16</v>
      </c>
      <c r="H12" s="2">
        <f t="shared" si="0"/>
        <v>-15.4375</v>
      </c>
      <c r="I12" s="2">
        <f t="shared" si="0"/>
        <v>-13.75</v>
      </c>
      <c r="J12" s="2">
        <f t="shared" si="0"/>
        <v>-10.9375</v>
      </c>
      <c r="K12" s="2">
        <f t="shared" si="0"/>
        <v>-7</v>
      </c>
      <c r="L12" s="2">
        <f t="shared" si="0"/>
        <v>-1.9375</v>
      </c>
    </row>
    <row r="13" spans="1:12">
      <c r="A13" s="1">
        <v>3</v>
      </c>
      <c r="B13" s="2">
        <f t="shared" si="1"/>
        <v>-21.9375</v>
      </c>
      <c r="C13" s="2">
        <f t="shared" si="0"/>
        <v>-27</v>
      </c>
      <c r="D13" s="2">
        <f t="shared" si="0"/>
        <v>-30.9375</v>
      </c>
      <c r="E13" s="2">
        <f t="shared" si="0"/>
        <v>-33.75</v>
      </c>
      <c r="F13" s="2">
        <f t="shared" si="0"/>
        <v>-35.4375</v>
      </c>
      <c r="G13" s="2">
        <f t="shared" si="0"/>
        <v>-36</v>
      </c>
      <c r="H13" s="2">
        <f t="shared" si="0"/>
        <v>-35.4375</v>
      </c>
      <c r="I13" s="2">
        <f t="shared" si="0"/>
        <v>-33.75</v>
      </c>
      <c r="J13" s="2">
        <f t="shared" si="0"/>
        <v>-30.9375</v>
      </c>
      <c r="K13" s="2">
        <f t="shared" si="0"/>
        <v>-27</v>
      </c>
      <c r="L13" s="2">
        <f t="shared" si="0"/>
        <v>-21.9375</v>
      </c>
    </row>
    <row r="14" spans="1:12">
      <c r="A14" s="1">
        <v>4</v>
      </c>
      <c r="B14" s="2">
        <f t="shared" si="1"/>
        <v>-49.9375</v>
      </c>
      <c r="C14" s="2">
        <f t="shared" si="0"/>
        <v>-55</v>
      </c>
      <c r="D14" s="2">
        <f t="shared" si="0"/>
        <v>-58.9375</v>
      </c>
      <c r="E14" s="2">
        <f t="shared" si="0"/>
        <v>-61.75</v>
      </c>
      <c r="F14" s="2">
        <f t="shared" si="0"/>
        <v>-63.4375</v>
      </c>
      <c r="G14" s="2">
        <f t="shared" si="0"/>
        <v>-64</v>
      </c>
      <c r="H14" s="2">
        <f t="shared" si="0"/>
        <v>-63.4375</v>
      </c>
      <c r="I14" s="2">
        <f t="shared" si="0"/>
        <v>-61.75</v>
      </c>
      <c r="J14" s="2">
        <f t="shared" si="0"/>
        <v>-58.9375</v>
      </c>
      <c r="K14" s="2">
        <f t="shared" si="0"/>
        <v>-55</v>
      </c>
      <c r="L14" s="2">
        <f t="shared" si="0"/>
        <v>-49.9375</v>
      </c>
    </row>
    <row r="15" spans="1:12">
      <c r="A15" s="1">
        <v>5</v>
      </c>
      <c r="B15" s="2">
        <f t="shared" si="1"/>
        <v>-85.9375</v>
      </c>
      <c r="C15" s="2">
        <f t="shared" si="0"/>
        <v>-91</v>
      </c>
      <c r="D15" s="2">
        <f t="shared" si="0"/>
        <v>-94.9375</v>
      </c>
      <c r="E15" s="2">
        <f t="shared" si="0"/>
        <v>-97.75</v>
      </c>
      <c r="F15" s="2">
        <f t="shared" si="0"/>
        <v>-99.4375</v>
      </c>
      <c r="G15" s="2">
        <f t="shared" si="0"/>
        <v>-100</v>
      </c>
      <c r="H15" s="2">
        <f t="shared" si="0"/>
        <v>-99.4375</v>
      </c>
      <c r="I15" s="2">
        <f t="shared" si="0"/>
        <v>-97.75</v>
      </c>
      <c r="J15" s="2">
        <f t="shared" si="0"/>
        <v>-94.9375</v>
      </c>
      <c r="K15" s="2">
        <f t="shared" si="0"/>
        <v>-91</v>
      </c>
      <c r="L15" s="2">
        <f t="shared" si="0"/>
        <v>-85.9375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2022-10-14T08:37:18Z</dcterms:created>
  <dcterms:modified xsi:type="dcterms:W3CDTF">2022-10-14T10:43:53Z</dcterms:modified>
  <cp:category/>
  <cp:contentStatus/>
</cp:coreProperties>
</file>
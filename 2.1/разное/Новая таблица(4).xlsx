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>
    <definedName name="_xlchart.9">'Лист1'!$U$22:$AE$22</definedName>
    <definedName name="_xlchart.5">'Лист1'!$Q$28:$Q$38</definedName>
    <definedName name="_xlchart.0">'Лист1'!$T$22</definedName>
    <definedName name="_xlchart.1">'Лист1'!$T$23</definedName>
    <definedName name="_xlchart.2">'Лист1'!$U$22:$AE$22</definedName>
    <definedName name="_xlchart.13">'Лист1'!$U$22:$AE$22</definedName>
    <definedName name="_xlchart.7">'Лист1'!$R$28:$R$38</definedName>
    <definedName name="_xlchart.12">'Лист1'!$T$23</definedName>
    <definedName name="_xlchart.10">'Лист1'!$U$23:$AE$23</definedName>
    <definedName name="_xlchart.14">'Лист1'!$U$23:$AE$23</definedName>
    <definedName name="_xlchart.8">'Лист1'!$T$23</definedName>
    <definedName name="_xlchart.11">'Лист1'!$T$22</definedName>
    <definedName name="_xlchart.6">'Лист1'!$R$27</definedName>
    <definedName name="_xlchart.3">'Лист1'!$U$23:$AE$23</definedName>
    <definedName name="_xlchart.4">'Лист1'!$Q$27</definedName>
  </definedNames>
  <calcPr/>
</workbook>
</file>

<file path=xl/sharedStrings.xml><?xml version="1.0" encoding="utf-8"?>
<sst xmlns="http://schemas.openxmlformats.org/spreadsheetml/2006/main" count="35" uniqueCount="29">
  <si>
    <t>Варианты, xi</t>
  </si>
  <si>
    <t>Частоты, mi</t>
  </si>
  <si>
    <t>wi</t>
  </si>
  <si>
    <t>max</t>
  </si>
  <si>
    <t>min</t>
  </si>
  <si>
    <t>xi</t>
  </si>
  <si>
    <t>mi</t>
  </si>
  <si>
    <t>xi*mi</t>
  </si>
  <si>
    <t>mx</t>
  </si>
  <si>
    <t>(xi - x)²</t>
  </si>
  <si>
    <t xml:space="preserve">n </t>
  </si>
  <si>
    <t>(xi - x)² * mi</t>
  </si>
  <si>
    <t>wx</t>
  </si>
  <si>
    <t>Cреднее значение признака</t>
  </si>
  <si>
    <t>Дисперсия</t>
  </si>
  <si>
    <t xml:space="preserve">Среднее квадратическое отклонение </t>
  </si>
  <si>
    <t>Коэффициент вариации</t>
  </si>
  <si>
    <t>n = 25</t>
  </si>
  <si>
    <t>Ассиметрия распределения</t>
  </si>
  <si>
    <t>Эксцесс</t>
  </si>
  <si>
    <t>М0</t>
  </si>
  <si>
    <t>Ме</t>
  </si>
  <si>
    <t>xi - x¯</t>
  </si>
  <si>
    <t>(xi-x¯)^4</t>
  </si>
  <si>
    <t>(xi-x¯)^4 * mi</t>
  </si>
  <si>
    <t>μ4</t>
  </si>
  <si>
    <t>Был проведен опрос среди студентов РГПУ им Герцена:https://forms.yandex.ru/cloud/6580d388c417f311ed272260/ тема опроса :какой ваш нынешний вес(числа целые для удобства)были получены результаты: 55 53 0 62 80 77 56 87 72 77 56 64 49 65 67 65 48 47 56 61 52 73 61 54 67 74 59 50 64 120 56</t>
  </si>
  <si>
    <t>варианты:</t>
  </si>
  <si>
    <t>частоты: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</si>
</sst>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</font>
    <font/>
    <font>
      <sz val="10.0"/>
      <color theme="1"/>
      <name val="Calibri"/>
    </font>
    <font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BDD6EE"/>
        <bgColor rgb="FFBDD6EE"/>
      </patternFill>
    </fill>
    <fill>
      <patternFill patternType="solid">
        <fgColor rgb="FFC6E0B4"/>
        <bgColor rgb="FFC6E0B4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2" fontId="2" numFmtId="0" xfId="0" applyBorder="1" applyFont="1"/>
    <xf borderId="1" fillId="2" fontId="3" numFmtId="0" xfId="0" applyBorder="1" applyFont="1"/>
    <xf borderId="3" fillId="2" fontId="2" numFmtId="0" xfId="0" applyAlignment="1" applyBorder="1" applyFont="1">
      <alignment horizontal="center"/>
    </xf>
    <xf borderId="4" fillId="0" fontId="4" numFmtId="0" xfId="0" applyBorder="1" applyFont="1"/>
    <xf borderId="5" fillId="0" fontId="4" numFmtId="0" xfId="0" applyBorder="1" applyFont="1"/>
    <xf borderId="0" fillId="0" fontId="2" numFmtId="9" xfId="0" applyFont="1" applyNumberFormat="1"/>
    <xf borderId="1" fillId="2" fontId="5" numFmtId="0" xfId="0" applyBorder="1" applyFont="1"/>
    <xf borderId="0" fillId="3" fontId="6" numFmtId="0" xfId="0" applyAlignment="1" applyFill="1" applyFont="1">
      <alignment horizontal="center" readingOrder="0" shrinkToFit="0" vertical="top" wrapText="1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horizontal="right" readingOrder="0" shrinkToFit="0" vertical="bottom" wrapText="0"/>
    </xf>
    <xf borderId="0" fillId="3" fontId="6" numFmtId="0" xfId="0" applyAlignment="1" applyFont="1">
      <alignment readingOrder="0" shrinkToFit="0" vertical="bottom" wrapText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Полигон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v>mi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'Лист1'!$D$23:$D$33</c:f>
            </c:numRef>
          </c:xVal>
          <c:yVal>
            <c:numRef>
              <c:f>'Лист1'!$E$23:$E$33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315454"/>
        <c:axId val="628945915"/>
      </c:scatterChart>
      <c:valAx>
        <c:axId val="5583154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xi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28945915"/>
      </c:valAx>
      <c:valAx>
        <c:axId val="628945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 mi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5831545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Кумулянта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mx</c:v>
          </c:tx>
          <c:spPr>
            <a:ln cmpd="sng" w="28575">
              <a:solidFill>
                <a:schemeClr val="accent2"/>
              </a:solidFill>
            </a:ln>
          </c:spPr>
          <c:marker>
            <c:symbol val="circle"/>
            <c:size val="5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cat>
            <c:strRef>
              <c:f>'Лист1'!$U$22:$AE$22</c:f>
            </c:strRef>
          </c:cat>
          <c:val>
            <c:numRef>
              <c:f>'Лист1'!$U$23:$AE$23</c:f>
              <c:numCache/>
            </c:numRef>
          </c:val>
          <c:smooth val="0"/>
        </c:ser>
        <c:axId val="1818044863"/>
        <c:axId val="1847347136"/>
      </c:lineChart>
      <c:catAx>
        <c:axId val="1818044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xi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47347136"/>
      </c:catAx>
      <c:valAx>
        <c:axId val="18473471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mx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18044863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400">
                <a:solidFill>
                  <a:srgbClr val="757575"/>
                </a:solidFill>
                <a:latin typeface="+mn-lt"/>
              </a:defRPr>
            </a:pPr>
            <a:r>
              <a:rPr b="0" i="0" sz="1400">
                <a:solidFill>
                  <a:srgbClr val="757575"/>
                </a:solidFill>
                <a:latin typeface="+mn-lt"/>
              </a:rPr>
              <a:t>Эмпирическая функция рапсределения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v>wx</c:v>
          </c:tx>
          <c:spPr>
            <a:ln cmpd="sng" w="28575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'Лист1'!$Q$28:$Q$38</c:f>
            </c:strRef>
          </c:cat>
          <c:val>
            <c:numRef>
              <c:f>'Лист1'!$R$28:$R$38</c:f>
              <c:numCache/>
            </c:numRef>
          </c:val>
          <c:smooth val="0"/>
        </c:ser>
        <c:axId val="975793938"/>
        <c:axId val="1165988215"/>
      </c:lineChart>
      <c:catAx>
        <c:axId val="975793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xi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65988215"/>
      </c:catAx>
      <c:valAx>
        <c:axId val="11659882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1000">
                    <a:solidFill>
                      <a:srgbClr val="000000"/>
                    </a:solidFill>
                    <a:latin typeface="+mn-lt"/>
                  </a:rPr>
                  <a:t>wx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75793938"/>
      </c:valAx>
    </c:plotArea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полином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5B9BD5"/>
              </a:solidFill>
            </a:ln>
          </c:spPr>
          <c:marker>
            <c:symbol val="none"/>
          </c:marker>
          <c:cat>
            <c:strRef>
              <c:f>'Лист2'!$D$23:$D$45</c:f>
            </c:strRef>
          </c:cat>
          <c:val>
            <c:numRef>
              <c:f>'Лист2'!$E$23:$E$45</c:f>
              <c:numCache/>
            </c:numRef>
          </c:val>
          <c:smooth val="0"/>
        </c:ser>
        <c:axId val="789760397"/>
        <c:axId val="416860315"/>
      </c:lineChart>
      <c:catAx>
        <c:axId val="78976039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xi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860315"/>
      </c:catAx>
      <c:valAx>
        <c:axId val="4168603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8976039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28575</xdr:colOff>
      <xdr:row>0</xdr:row>
      <xdr:rowOff>161925</xdr:rowOff>
    </xdr:from>
    <xdr:ext cx="3876675" cy="2257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20</xdr:col>
      <xdr:colOff>219075</xdr:colOff>
      <xdr:row>0</xdr:row>
      <xdr:rowOff>133350</xdr:rowOff>
    </xdr:from>
    <xdr:ext cx="3952875" cy="23526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28</xdr:col>
      <xdr:colOff>19050</xdr:colOff>
      <xdr:row>0</xdr:row>
      <xdr:rowOff>152400</xdr:rowOff>
    </xdr:from>
    <xdr:ext cx="4381500" cy="2667000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0</xdr:row>
      <xdr:rowOff>0</xdr:rowOff>
    </xdr:from>
    <xdr:ext cx="6724650" cy="2705100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533400</xdr:colOff>
      <xdr:row>1</xdr:row>
      <xdr:rowOff>76200</xdr:rowOff>
    </xdr:from>
    <xdr:ext cx="3743325" cy="2314575"/>
    <xdr:graphicFrame>
      <xdr:nvGraphicFramePr>
        <xdr:cNvPr id="4" name="Chart 4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43"/>
    <col customWidth="1" min="2" max="3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A17" s="1">
        <v>30.0</v>
      </c>
      <c r="B17" s="1">
        <v>45.0</v>
      </c>
      <c r="C17" s="1">
        <v>50.0</v>
      </c>
      <c r="D17" s="1">
        <v>30.0</v>
      </c>
      <c r="E17" s="1">
        <v>35.0</v>
      </c>
      <c r="F17" s="1">
        <v>45.0</v>
      </c>
      <c r="G17" s="1">
        <v>40.0</v>
      </c>
      <c r="H17" s="1">
        <v>60.0</v>
      </c>
      <c r="I17" s="1">
        <v>80.0</v>
      </c>
      <c r="J17" s="1">
        <v>45.0</v>
      </c>
      <c r="K17" s="1">
        <v>90.0</v>
      </c>
      <c r="L17" s="1">
        <v>50.0</v>
      </c>
      <c r="M17" s="1">
        <v>30.0</v>
      </c>
      <c r="N17" s="1">
        <v>45.0</v>
      </c>
      <c r="O17" s="1">
        <v>40.0</v>
      </c>
      <c r="P17" s="1">
        <v>50.0</v>
      </c>
      <c r="Q17" s="1">
        <v>70.0</v>
      </c>
      <c r="R17" s="1">
        <v>55.0</v>
      </c>
      <c r="S17" s="1">
        <v>40.0</v>
      </c>
      <c r="T17" s="1">
        <v>45.0</v>
      </c>
      <c r="U17" s="1">
        <v>55.0</v>
      </c>
      <c r="V17" s="1">
        <v>60.0</v>
      </c>
      <c r="W17" s="1">
        <v>75.0</v>
      </c>
      <c r="X17" s="1">
        <v>90.0</v>
      </c>
      <c r="Y17" s="1">
        <v>60.0</v>
      </c>
    </row>
    <row r="18" ht="14.25" customHeight="1"/>
    <row r="19" ht="14.25" customHeight="1">
      <c r="A19" s="2" t="s">
        <v>0</v>
      </c>
      <c r="B19" s="1">
        <v>30.0</v>
      </c>
      <c r="C19" s="1">
        <v>35.0</v>
      </c>
      <c r="D19" s="1">
        <v>40.0</v>
      </c>
      <c r="E19" s="1">
        <v>45.0</v>
      </c>
      <c r="F19" s="1">
        <v>50.0</v>
      </c>
      <c r="G19" s="1">
        <v>55.0</v>
      </c>
      <c r="H19" s="1">
        <v>60.0</v>
      </c>
      <c r="I19" s="1">
        <v>70.0</v>
      </c>
      <c r="J19" s="1">
        <v>75.0</v>
      </c>
      <c r="K19" s="1">
        <v>80.0</v>
      </c>
      <c r="L19" s="1">
        <v>90.0</v>
      </c>
    </row>
    <row r="20" ht="14.25" customHeight="1">
      <c r="A20" s="2" t="s">
        <v>1</v>
      </c>
      <c r="B20" s="1">
        <v>3.0</v>
      </c>
      <c r="C20" s="1">
        <v>1.0</v>
      </c>
      <c r="D20" s="1">
        <v>3.0</v>
      </c>
      <c r="E20" s="1">
        <v>5.0</v>
      </c>
      <c r="F20" s="1">
        <v>3.0</v>
      </c>
      <c r="G20" s="1">
        <v>2.0</v>
      </c>
      <c r="H20" s="1">
        <v>3.0</v>
      </c>
      <c r="I20" s="1">
        <v>1.0</v>
      </c>
      <c r="J20" s="1">
        <v>1.0</v>
      </c>
      <c r="K20" s="1">
        <v>1.0</v>
      </c>
      <c r="L20" s="1">
        <v>2.0</v>
      </c>
      <c r="N20" s="2" t="s">
        <v>2</v>
      </c>
      <c r="O20" s="1">
        <f t="shared" ref="O20:Y20" si="1">B20/$A$26</f>
        <v>0.12</v>
      </c>
      <c r="P20" s="1">
        <f t="shared" si="1"/>
        <v>0.04</v>
      </c>
      <c r="Q20" s="1">
        <f t="shared" si="1"/>
        <v>0.12</v>
      </c>
      <c r="R20" s="1">
        <f t="shared" si="1"/>
        <v>0.2</v>
      </c>
      <c r="S20" s="1">
        <f t="shared" si="1"/>
        <v>0.12</v>
      </c>
      <c r="T20" s="1">
        <f t="shared" si="1"/>
        <v>0.08</v>
      </c>
      <c r="U20" s="1">
        <f t="shared" si="1"/>
        <v>0.12</v>
      </c>
      <c r="V20" s="1">
        <f t="shared" si="1"/>
        <v>0.04</v>
      </c>
      <c r="W20" s="1">
        <f t="shared" si="1"/>
        <v>0.04</v>
      </c>
      <c r="X20" s="1">
        <f t="shared" si="1"/>
        <v>0.04</v>
      </c>
      <c r="Y20" s="1">
        <f t="shared" si="1"/>
        <v>0.08</v>
      </c>
    </row>
    <row r="21" ht="14.25" customHeight="1"/>
    <row r="22" ht="14.25" customHeight="1">
      <c r="A22" s="2" t="s">
        <v>3</v>
      </c>
      <c r="B22" s="2" t="s">
        <v>4</v>
      </c>
      <c r="D22" s="3" t="s">
        <v>5</v>
      </c>
      <c r="E22" s="3" t="s">
        <v>6</v>
      </c>
      <c r="G22" s="2" t="s">
        <v>7</v>
      </c>
      <c r="H22" s="1">
        <f t="shared" ref="H22:R22" si="2">B19*B20</f>
        <v>90</v>
      </c>
      <c r="I22" s="1">
        <f t="shared" si="2"/>
        <v>35</v>
      </c>
      <c r="J22" s="1">
        <f t="shared" si="2"/>
        <v>120</v>
      </c>
      <c r="K22" s="1">
        <f t="shared" si="2"/>
        <v>225</v>
      </c>
      <c r="L22" s="1">
        <f t="shared" si="2"/>
        <v>150</v>
      </c>
      <c r="M22" s="1">
        <f t="shared" si="2"/>
        <v>110</v>
      </c>
      <c r="N22" s="1">
        <f t="shared" si="2"/>
        <v>180</v>
      </c>
      <c r="O22" s="1">
        <f t="shared" si="2"/>
        <v>70</v>
      </c>
      <c r="P22" s="1">
        <f t="shared" si="2"/>
        <v>75</v>
      </c>
      <c r="Q22" s="1">
        <f t="shared" si="2"/>
        <v>80</v>
      </c>
      <c r="R22" s="1">
        <f t="shared" si="2"/>
        <v>180</v>
      </c>
      <c r="T22" s="2" t="s">
        <v>5</v>
      </c>
      <c r="U22" s="1">
        <v>30.0</v>
      </c>
      <c r="V22" s="1">
        <v>35.0</v>
      </c>
      <c r="W22" s="1">
        <v>40.0</v>
      </c>
      <c r="X22" s="1">
        <v>45.0</v>
      </c>
      <c r="Y22" s="1">
        <v>50.0</v>
      </c>
      <c r="Z22" s="1">
        <v>55.0</v>
      </c>
      <c r="AA22" s="1">
        <v>60.0</v>
      </c>
      <c r="AB22" s="1">
        <v>70.0</v>
      </c>
      <c r="AC22" s="1">
        <v>75.0</v>
      </c>
      <c r="AD22" s="1">
        <v>80.0</v>
      </c>
      <c r="AE22" s="1">
        <v>90.0</v>
      </c>
    </row>
    <row r="23" ht="14.25" customHeight="1">
      <c r="A23" s="1">
        <v>90.0</v>
      </c>
      <c r="B23" s="1">
        <v>30.0</v>
      </c>
      <c r="D23" s="1">
        <v>30.0</v>
      </c>
      <c r="E23" s="1">
        <v>3.0</v>
      </c>
      <c r="T23" s="2" t="s">
        <v>8</v>
      </c>
      <c r="U23" s="1">
        <v>3.0</v>
      </c>
      <c r="V23" s="1">
        <v>4.0</v>
      </c>
      <c r="W23" s="1">
        <v>7.0</v>
      </c>
      <c r="X23" s="1">
        <v>12.0</v>
      </c>
      <c r="Y23" s="1">
        <v>15.0</v>
      </c>
      <c r="Z23" s="1">
        <v>17.0</v>
      </c>
      <c r="AA23" s="1">
        <v>20.0</v>
      </c>
      <c r="AB23" s="1">
        <v>21.0</v>
      </c>
      <c r="AC23" s="1">
        <v>22.0</v>
      </c>
      <c r="AD23" s="1">
        <v>23.0</v>
      </c>
      <c r="AE23" s="1">
        <v>25.0</v>
      </c>
    </row>
    <row r="24" ht="14.25" customHeight="1">
      <c r="D24" s="1">
        <v>35.0</v>
      </c>
      <c r="E24" s="1">
        <v>1.0</v>
      </c>
      <c r="G24" s="2" t="s">
        <v>9</v>
      </c>
      <c r="H24" s="1">
        <f t="shared" ref="H24:R24" si="3">POWER(B19-$A$36,2)</f>
        <v>510.76</v>
      </c>
      <c r="I24" s="1">
        <f t="shared" si="3"/>
        <v>309.76</v>
      </c>
      <c r="J24" s="1">
        <f t="shared" si="3"/>
        <v>158.76</v>
      </c>
      <c r="K24" s="1">
        <f t="shared" si="3"/>
        <v>57.76</v>
      </c>
      <c r="L24" s="1">
        <f t="shared" si="3"/>
        <v>6.76</v>
      </c>
      <c r="M24" s="1">
        <f t="shared" si="3"/>
        <v>5.76</v>
      </c>
      <c r="N24" s="1">
        <f t="shared" si="3"/>
        <v>54.76</v>
      </c>
      <c r="O24" s="1">
        <f t="shared" si="3"/>
        <v>302.76</v>
      </c>
      <c r="P24" s="1">
        <f t="shared" si="3"/>
        <v>501.76</v>
      </c>
      <c r="Q24" s="1">
        <f t="shared" si="3"/>
        <v>750.76</v>
      </c>
      <c r="R24" s="1">
        <f t="shared" si="3"/>
        <v>1398.76</v>
      </c>
    </row>
    <row r="25" ht="14.25" customHeight="1">
      <c r="A25" s="2" t="s">
        <v>10</v>
      </c>
      <c r="D25" s="1">
        <v>40.0</v>
      </c>
      <c r="E25" s="1">
        <v>3.0</v>
      </c>
      <c r="G25" s="4" t="s">
        <v>11</v>
      </c>
      <c r="H25" s="1">
        <f t="shared" ref="H25:R25" si="4">H24*B20</f>
        <v>1532.28</v>
      </c>
      <c r="I25" s="1">
        <f t="shared" si="4"/>
        <v>309.76</v>
      </c>
      <c r="J25" s="1">
        <f t="shared" si="4"/>
        <v>476.28</v>
      </c>
      <c r="K25" s="1">
        <f t="shared" si="4"/>
        <v>288.8</v>
      </c>
      <c r="L25" s="1">
        <f t="shared" si="4"/>
        <v>20.28</v>
      </c>
      <c r="M25" s="1">
        <f t="shared" si="4"/>
        <v>11.52</v>
      </c>
      <c r="N25" s="1">
        <f t="shared" si="4"/>
        <v>164.28</v>
      </c>
      <c r="O25" s="1">
        <f t="shared" si="4"/>
        <v>302.76</v>
      </c>
      <c r="P25" s="1">
        <f t="shared" si="4"/>
        <v>501.76</v>
      </c>
      <c r="Q25" s="1">
        <f t="shared" si="4"/>
        <v>750.76</v>
      </c>
      <c r="R25" s="1">
        <f t="shared" si="4"/>
        <v>2797.52</v>
      </c>
    </row>
    <row r="26" ht="14.25" customHeight="1">
      <c r="A26" s="1">
        <v>25.0</v>
      </c>
      <c r="D26" s="1">
        <v>45.0</v>
      </c>
      <c r="E26" s="1">
        <v>5.0</v>
      </c>
    </row>
    <row r="27" ht="14.25" customHeight="1">
      <c r="D27" s="1">
        <v>50.0</v>
      </c>
      <c r="E27" s="1">
        <v>3.0</v>
      </c>
      <c r="Q27" s="2" t="s">
        <v>5</v>
      </c>
      <c r="R27" s="2" t="s">
        <v>12</v>
      </c>
    </row>
    <row r="28" ht="14.25" customHeight="1">
      <c r="D28" s="1">
        <v>55.0</v>
      </c>
      <c r="E28" s="1">
        <v>2.0</v>
      </c>
      <c r="Q28" s="1">
        <v>30.0</v>
      </c>
      <c r="R28" s="1">
        <f>U23/$A$26</f>
        <v>0.12</v>
      </c>
    </row>
    <row r="29" ht="14.25" customHeight="1">
      <c r="D29" s="1">
        <v>60.0</v>
      </c>
      <c r="E29" s="1">
        <v>3.0</v>
      </c>
      <c r="Q29" s="1">
        <v>35.0</v>
      </c>
      <c r="R29" s="1">
        <f>V23/$A$26</f>
        <v>0.16</v>
      </c>
    </row>
    <row r="30" ht="14.25" customHeight="1">
      <c r="D30" s="1">
        <v>70.0</v>
      </c>
      <c r="E30" s="1">
        <v>1.0</v>
      </c>
      <c r="Q30" s="1">
        <v>40.0</v>
      </c>
      <c r="R30" s="1">
        <f>W23/$A$26</f>
        <v>0.28</v>
      </c>
    </row>
    <row r="31" ht="14.25" customHeight="1">
      <c r="D31" s="1">
        <v>75.0</v>
      </c>
      <c r="E31" s="1">
        <v>1.0</v>
      </c>
      <c r="Q31" s="1">
        <v>45.0</v>
      </c>
      <c r="R31" s="1">
        <f>X23/$A$26</f>
        <v>0.48</v>
      </c>
    </row>
    <row r="32" ht="14.25" customHeight="1">
      <c r="D32" s="1">
        <v>80.0</v>
      </c>
      <c r="E32" s="1">
        <v>1.0</v>
      </c>
      <c r="Q32" s="1">
        <v>50.0</v>
      </c>
      <c r="R32" s="1">
        <f>Y23/$A$26</f>
        <v>0.6</v>
      </c>
    </row>
    <row r="33" ht="14.25" customHeight="1">
      <c r="D33" s="1">
        <v>90.0</v>
      </c>
      <c r="E33" s="1">
        <v>2.0</v>
      </c>
      <c r="Q33" s="1">
        <v>55.0</v>
      </c>
      <c r="R33" s="1">
        <f>Z23/$A$26</f>
        <v>0.68</v>
      </c>
    </row>
    <row r="34" ht="14.25" customHeight="1">
      <c r="Q34" s="1">
        <v>60.0</v>
      </c>
      <c r="R34" s="1">
        <f>AA23/$A$26</f>
        <v>0.8</v>
      </c>
    </row>
    <row r="35" ht="14.25" customHeight="1">
      <c r="A35" s="2" t="s">
        <v>13</v>
      </c>
      <c r="B35" s="2"/>
      <c r="C35" s="2"/>
      <c r="E35" s="5" t="s">
        <v>14</v>
      </c>
      <c r="F35" s="6"/>
      <c r="H35" s="5" t="s">
        <v>15</v>
      </c>
      <c r="I35" s="7"/>
      <c r="J35" s="7"/>
      <c r="K35" s="6"/>
      <c r="M35" s="5" t="s">
        <v>16</v>
      </c>
      <c r="N35" s="7"/>
      <c r="O35" s="6"/>
      <c r="Q35" s="1">
        <v>70.0</v>
      </c>
      <c r="R35" s="1">
        <f>AB23/$A$26</f>
        <v>0.84</v>
      </c>
    </row>
    <row r="36" ht="14.25" customHeight="1">
      <c r="A36" s="1">
        <f>(1/A26) * SUM(H22:R22)</f>
        <v>52.6</v>
      </c>
      <c r="E36" s="1">
        <f>SUM(H25:R25)/A26</f>
        <v>286.24</v>
      </c>
      <c r="H36" s="1" t="s">
        <v>17</v>
      </c>
      <c r="I36" s="1">
        <f>SQRT(E36)</f>
        <v>16.91862879</v>
      </c>
      <c r="M36" s="8">
        <f>I36/A36</f>
        <v>0.3216469351</v>
      </c>
      <c r="Q36" s="1">
        <v>75.0</v>
      </c>
      <c r="R36" s="1">
        <f>AC23/$A$26</f>
        <v>0.88</v>
      </c>
    </row>
    <row r="37" ht="14.25" customHeight="1">
      <c r="Q37" s="1">
        <v>80.0</v>
      </c>
      <c r="R37" s="1">
        <f>AD23/$A$26</f>
        <v>0.92</v>
      </c>
    </row>
    <row r="38" ht="14.25" customHeight="1">
      <c r="A38" s="5" t="s">
        <v>18</v>
      </c>
      <c r="B38" s="7"/>
      <c r="C38" s="6"/>
      <c r="E38" s="2" t="s">
        <v>19</v>
      </c>
      <c r="H38" s="2" t="s">
        <v>20</v>
      </c>
      <c r="J38" s="2" t="s">
        <v>21</v>
      </c>
      <c r="Q38" s="1">
        <v>90.0</v>
      </c>
      <c r="R38" s="1">
        <f>AE23/$A$26</f>
        <v>1</v>
      </c>
    </row>
    <row r="39" ht="14.25" customHeight="1">
      <c r="A39" s="1">
        <f>(A36-H39)/I36</f>
        <v>0.4492089812</v>
      </c>
      <c r="E39" s="1">
        <f>(B44/(POWER(I36,4)))-3</f>
        <v>-0.1683322809</v>
      </c>
      <c r="H39" s="1">
        <f>MODE(A17:Y17)</f>
        <v>45</v>
      </c>
      <c r="J39" s="1">
        <f>MEDIAN(B19:L19)</f>
        <v>55</v>
      </c>
    </row>
    <row r="40" ht="14.25" customHeight="1"/>
    <row r="41" ht="14.25" customHeight="1">
      <c r="A41" s="2" t="s">
        <v>22</v>
      </c>
      <c r="B41" s="1">
        <f t="shared" ref="B41:L41" si="5">B19-$A$36</f>
        <v>-22.6</v>
      </c>
      <c r="C41" s="1">
        <f t="shared" si="5"/>
        <v>-17.6</v>
      </c>
      <c r="D41" s="1">
        <f t="shared" si="5"/>
        <v>-12.6</v>
      </c>
      <c r="E41" s="1">
        <f t="shared" si="5"/>
        <v>-7.6</v>
      </c>
      <c r="F41" s="1">
        <f t="shared" si="5"/>
        <v>-2.6</v>
      </c>
      <c r="G41" s="1">
        <f t="shared" si="5"/>
        <v>2.4</v>
      </c>
      <c r="H41" s="1">
        <f t="shared" si="5"/>
        <v>7.4</v>
      </c>
      <c r="I41" s="1">
        <f t="shared" si="5"/>
        <v>17.4</v>
      </c>
      <c r="J41" s="1">
        <f t="shared" si="5"/>
        <v>22.4</v>
      </c>
      <c r="K41" s="1">
        <f t="shared" si="5"/>
        <v>27.4</v>
      </c>
      <c r="L41" s="1">
        <f t="shared" si="5"/>
        <v>37.4</v>
      </c>
    </row>
    <row r="42" ht="14.25" customHeight="1">
      <c r="A42" s="2" t="s">
        <v>23</v>
      </c>
      <c r="B42" s="1">
        <f t="shared" ref="B42:L42" si="6">POWER(B41,4)</f>
        <v>260875.7776</v>
      </c>
      <c r="C42" s="1">
        <f t="shared" si="6"/>
        <v>95951.2576</v>
      </c>
      <c r="D42" s="1">
        <f t="shared" si="6"/>
        <v>25204.7376</v>
      </c>
      <c r="E42" s="1">
        <f t="shared" si="6"/>
        <v>3336.2176</v>
      </c>
      <c r="F42" s="1">
        <f t="shared" si="6"/>
        <v>45.6976</v>
      </c>
      <c r="G42" s="1">
        <f t="shared" si="6"/>
        <v>33.1776</v>
      </c>
      <c r="H42" s="1">
        <f t="shared" si="6"/>
        <v>2998.6576</v>
      </c>
      <c r="I42" s="1">
        <f t="shared" si="6"/>
        <v>91663.6176</v>
      </c>
      <c r="J42" s="1">
        <f t="shared" si="6"/>
        <v>251763.0976</v>
      </c>
      <c r="K42" s="1">
        <f t="shared" si="6"/>
        <v>563640.5776</v>
      </c>
      <c r="L42" s="1">
        <f t="shared" si="6"/>
        <v>1956529.538</v>
      </c>
    </row>
    <row r="43" ht="14.25" customHeight="1">
      <c r="A43" s="9" t="s">
        <v>24</v>
      </c>
      <c r="B43" s="1">
        <f t="shared" ref="B43:L43" si="7">B42*B20</f>
        <v>782627.3328</v>
      </c>
      <c r="C43" s="1">
        <f t="shared" si="7"/>
        <v>95951.2576</v>
      </c>
      <c r="D43" s="1">
        <f t="shared" si="7"/>
        <v>75614.2128</v>
      </c>
      <c r="E43" s="1">
        <f t="shared" si="7"/>
        <v>16681.088</v>
      </c>
      <c r="F43" s="1">
        <f t="shared" si="7"/>
        <v>137.0928</v>
      </c>
      <c r="G43" s="1">
        <f t="shared" si="7"/>
        <v>66.3552</v>
      </c>
      <c r="H43" s="1">
        <f t="shared" si="7"/>
        <v>8995.9728</v>
      </c>
      <c r="I43" s="1">
        <f t="shared" si="7"/>
        <v>91663.6176</v>
      </c>
      <c r="J43" s="1">
        <f t="shared" si="7"/>
        <v>251763.0976</v>
      </c>
      <c r="K43" s="1">
        <f t="shared" si="7"/>
        <v>563640.5776</v>
      </c>
      <c r="L43" s="1">
        <f t="shared" si="7"/>
        <v>3913059.075</v>
      </c>
    </row>
    <row r="44" ht="14.25" customHeight="1">
      <c r="A44" s="2" t="s">
        <v>25</v>
      </c>
      <c r="B44" s="1">
        <f>SUM(B43:L43)/A26</f>
        <v>232007.9872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E35:F35"/>
    <mergeCell ref="H35:K35"/>
    <mergeCell ref="M35:O35"/>
    <mergeCell ref="A38:C38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 ht="14.25" customHeight="1">
      <c r="A1" s="10" t="s">
        <v>26</v>
      </c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</row>
    <row r="2" ht="14.25" customHeight="1"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</row>
    <row r="3" ht="14.25" customHeight="1"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</row>
    <row r="4" ht="14.25" customHeight="1"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</row>
    <row r="5" ht="14.25" customHeight="1"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</row>
    <row r="6" ht="14.25" customHeight="1"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</row>
    <row r="7" ht="14.25" customHeight="1"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</row>
    <row r="8" ht="14.25" customHeight="1"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</row>
    <row r="9" ht="14.25" customHeight="1"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</row>
    <row r="10" ht="14.25" customHeight="1"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</row>
    <row r="11" ht="14.25" customHeight="1"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</row>
    <row r="12" ht="14.25" customHeight="1"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</row>
    <row r="13" ht="14.25" customHeight="1"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</row>
    <row r="14" ht="14.25" customHeight="1"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</row>
    <row r="15" ht="14.25" customHeight="1"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</row>
    <row r="16" ht="14.25" customHeight="1"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t="14.25" customHeight="1">
      <c r="A17" s="12">
        <v>55.0</v>
      </c>
      <c r="B17" s="12">
        <v>53.0</v>
      </c>
      <c r="C17" s="12">
        <v>0.0</v>
      </c>
      <c r="D17" s="12">
        <v>62.0</v>
      </c>
      <c r="E17" s="12">
        <v>80.0</v>
      </c>
      <c r="F17" s="12">
        <v>77.0</v>
      </c>
      <c r="G17" s="12">
        <v>56.0</v>
      </c>
      <c r="H17" s="12">
        <v>87.0</v>
      </c>
      <c r="I17" s="12">
        <v>72.0</v>
      </c>
      <c r="J17" s="12">
        <v>77.0</v>
      </c>
      <c r="K17" s="12">
        <v>56.0</v>
      </c>
      <c r="L17" s="12">
        <v>64.0</v>
      </c>
      <c r="M17" s="12">
        <v>49.0</v>
      </c>
      <c r="N17" s="12">
        <v>65.0</v>
      </c>
      <c r="O17" s="12">
        <v>67.0</v>
      </c>
      <c r="P17" s="12">
        <v>65.0</v>
      </c>
      <c r="Q17" s="12">
        <v>48.0</v>
      </c>
      <c r="R17" s="12">
        <v>47.0</v>
      </c>
      <c r="S17" s="12">
        <v>56.0</v>
      </c>
      <c r="T17" s="12">
        <v>61.0</v>
      </c>
      <c r="U17" s="12">
        <v>52.0</v>
      </c>
      <c r="V17" s="12">
        <v>73.0</v>
      </c>
      <c r="W17" s="12">
        <v>61.0</v>
      </c>
      <c r="X17" s="12">
        <v>54.0</v>
      </c>
      <c r="Y17" s="12">
        <v>67.0</v>
      </c>
      <c r="Z17" s="12">
        <v>74.0</v>
      </c>
      <c r="AA17" s="12">
        <v>59.0</v>
      </c>
      <c r="AB17" s="12">
        <v>50.0</v>
      </c>
      <c r="AC17" s="12">
        <v>64.0</v>
      </c>
      <c r="AD17" s="12">
        <v>648.0</v>
      </c>
      <c r="AE17" s="12">
        <v>56.0</v>
      </c>
    </row>
    <row r="18" ht="14.2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t="14.25" customHeight="1">
      <c r="A19" s="13" t="s">
        <v>27</v>
      </c>
      <c r="B19" s="12">
        <v>0.0</v>
      </c>
      <c r="C19" s="12">
        <v>120.0</v>
      </c>
      <c r="D19" s="12">
        <v>47.0</v>
      </c>
      <c r="E19" s="12">
        <v>48.0</v>
      </c>
      <c r="F19" s="12">
        <v>49.0</v>
      </c>
      <c r="G19" s="12">
        <v>50.0</v>
      </c>
      <c r="H19" s="12">
        <v>52.0</v>
      </c>
      <c r="I19" s="12">
        <v>53.0</v>
      </c>
      <c r="J19" s="12">
        <v>54.0</v>
      </c>
      <c r="K19" s="12">
        <v>55.0</v>
      </c>
      <c r="L19" s="12">
        <v>56.0</v>
      </c>
      <c r="M19" s="12">
        <v>59.0</v>
      </c>
      <c r="N19" s="12">
        <v>61.0</v>
      </c>
      <c r="O19" s="12">
        <v>62.0</v>
      </c>
      <c r="P19" s="12">
        <v>64.0</v>
      </c>
      <c r="Q19" s="12">
        <v>65.0</v>
      </c>
      <c r="R19" s="12">
        <v>67.0</v>
      </c>
      <c r="S19" s="12">
        <v>72.0</v>
      </c>
      <c r="T19" s="12">
        <v>73.0</v>
      </c>
      <c r="U19" s="12">
        <v>74.0</v>
      </c>
      <c r="V19" s="12">
        <v>77.0</v>
      </c>
      <c r="W19" s="12">
        <v>80.0</v>
      </c>
      <c r="X19" s="12">
        <v>87.0</v>
      </c>
      <c r="Y19" s="11"/>
      <c r="Z19" s="11"/>
      <c r="AA19" s="11"/>
      <c r="AB19" s="11"/>
      <c r="AC19" s="11"/>
      <c r="AD19" s="11"/>
      <c r="AE19" s="11"/>
    </row>
    <row r="20" ht="14.25" customHeight="1">
      <c r="A20" s="13" t="s">
        <v>28</v>
      </c>
      <c r="B20" s="12">
        <v>1.0</v>
      </c>
      <c r="C20" s="12">
        <v>1.0</v>
      </c>
      <c r="D20" s="12">
        <v>1.0</v>
      </c>
      <c r="E20" s="12">
        <v>1.0</v>
      </c>
      <c r="F20" s="12">
        <v>1.0</v>
      </c>
      <c r="G20" s="12">
        <v>1.0</v>
      </c>
      <c r="H20" s="12">
        <v>1.0</v>
      </c>
      <c r="I20" s="12">
        <v>1.0</v>
      </c>
      <c r="J20" s="12">
        <v>1.0</v>
      </c>
      <c r="K20" s="12">
        <v>1.0</v>
      </c>
      <c r="L20" s="12">
        <v>4.0</v>
      </c>
      <c r="M20" s="12">
        <v>1.0</v>
      </c>
      <c r="N20" s="12">
        <v>2.0</v>
      </c>
      <c r="O20" s="12">
        <v>1.0</v>
      </c>
      <c r="P20" s="12">
        <v>2.0</v>
      </c>
      <c r="Q20" s="12">
        <v>2.0</v>
      </c>
      <c r="R20" s="12">
        <v>2.0</v>
      </c>
      <c r="S20" s="12">
        <v>2.0</v>
      </c>
      <c r="T20" s="12">
        <v>1.0</v>
      </c>
      <c r="U20" s="12">
        <v>1.0</v>
      </c>
      <c r="V20" s="12">
        <v>2.0</v>
      </c>
      <c r="W20" s="12">
        <v>1.0</v>
      </c>
      <c r="X20" s="12">
        <v>1.0</v>
      </c>
      <c r="Y20" s="11"/>
      <c r="Z20" s="11"/>
      <c r="AA20" s="11"/>
      <c r="AB20" s="11"/>
      <c r="AC20" s="11"/>
      <c r="AD20" s="11"/>
      <c r="AE20" s="11"/>
    </row>
    <row r="21" ht="14.2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</row>
    <row r="22" ht="14.25" customHeight="1">
      <c r="A22" s="13" t="s">
        <v>3</v>
      </c>
      <c r="B22" s="13" t="s">
        <v>4</v>
      </c>
      <c r="C22" s="11"/>
      <c r="D22" s="14" t="s">
        <v>5</v>
      </c>
      <c r="E22" s="14" t="s">
        <v>6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</row>
    <row r="23" ht="14.25" customHeight="1">
      <c r="A23" s="12">
        <v>120.0</v>
      </c>
      <c r="B23" s="12">
        <v>0.0</v>
      </c>
      <c r="C23" s="11"/>
      <c r="D23" s="15">
        <v>0.0</v>
      </c>
      <c r="E23" s="15">
        <v>1.0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</row>
    <row r="24" ht="14.25" customHeight="1">
      <c r="D24" s="15">
        <v>120.0</v>
      </c>
      <c r="E24" s="15">
        <v>1.0</v>
      </c>
    </row>
    <row r="25" ht="14.25" customHeight="1">
      <c r="D25" s="15">
        <v>47.0</v>
      </c>
      <c r="E25" s="15">
        <v>1.0</v>
      </c>
    </row>
    <row r="26" ht="14.25" customHeight="1">
      <c r="D26" s="15">
        <v>48.0</v>
      </c>
      <c r="E26" s="15">
        <v>1.0</v>
      </c>
    </row>
    <row r="27" ht="14.25" customHeight="1">
      <c r="D27" s="15">
        <v>49.0</v>
      </c>
      <c r="E27" s="15">
        <v>1.0</v>
      </c>
    </row>
    <row r="28" ht="14.25" customHeight="1">
      <c r="D28" s="15">
        <v>50.0</v>
      </c>
      <c r="E28" s="15">
        <v>1.0</v>
      </c>
    </row>
    <row r="29" ht="14.25" customHeight="1">
      <c r="D29" s="15">
        <v>52.0</v>
      </c>
      <c r="E29" s="15">
        <v>1.0</v>
      </c>
    </row>
    <row r="30" ht="14.25" customHeight="1">
      <c r="D30" s="15">
        <v>53.0</v>
      </c>
      <c r="E30" s="15">
        <v>1.0</v>
      </c>
    </row>
    <row r="31" ht="14.25" customHeight="1">
      <c r="D31" s="15">
        <v>54.0</v>
      </c>
      <c r="E31" s="15">
        <v>1.0</v>
      </c>
    </row>
    <row r="32" ht="14.25" customHeight="1">
      <c r="D32" s="15">
        <v>55.0</v>
      </c>
      <c r="E32" s="15">
        <v>1.0</v>
      </c>
    </row>
    <row r="33" ht="14.25" customHeight="1">
      <c r="D33" s="15">
        <v>56.0</v>
      </c>
      <c r="E33" s="15">
        <v>4.0</v>
      </c>
    </row>
    <row r="34" ht="14.25" customHeight="1">
      <c r="D34" s="15">
        <v>59.0</v>
      </c>
      <c r="E34" s="15">
        <v>1.0</v>
      </c>
    </row>
    <row r="35" ht="14.25" customHeight="1">
      <c r="D35" s="15">
        <v>61.0</v>
      </c>
      <c r="E35" s="15">
        <v>2.0</v>
      </c>
    </row>
    <row r="36" ht="14.25" customHeight="1">
      <c r="D36" s="15">
        <v>62.0</v>
      </c>
      <c r="E36" s="15">
        <v>1.0</v>
      </c>
    </row>
    <row r="37" ht="14.25" customHeight="1">
      <c r="D37" s="15">
        <v>64.0</v>
      </c>
      <c r="E37" s="15">
        <v>2.0</v>
      </c>
    </row>
    <row r="38" ht="14.25" customHeight="1">
      <c r="D38" s="15">
        <v>65.0</v>
      </c>
      <c r="E38" s="15">
        <v>2.0</v>
      </c>
    </row>
    <row r="39" ht="14.25" customHeight="1">
      <c r="D39" s="15">
        <v>67.0</v>
      </c>
      <c r="E39" s="15">
        <v>2.0</v>
      </c>
    </row>
    <row r="40" ht="14.25" customHeight="1">
      <c r="D40" s="15">
        <v>72.0</v>
      </c>
      <c r="E40" s="15">
        <v>2.0</v>
      </c>
    </row>
    <row r="41" ht="14.25" customHeight="1">
      <c r="D41" s="15">
        <v>73.0</v>
      </c>
      <c r="E41" s="15">
        <v>1.0</v>
      </c>
    </row>
    <row r="42" ht="14.25" customHeight="1">
      <c r="D42" s="15">
        <v>74.0</v>
      </c>
      <c r="E42" s="15">
        <v>1.0</v>
      </c>
    </row>
    <row r="43" ht="14.25" customHeight="1">
      <c r="D43" s="15">
        <v>77.0</v>
      </c>
      <c r="E43" s="15">
        <v>2.0</v>
      </c>
    </row>
    <row r="44" ht="14.25" customHeight="1">
      <c r="D44" s="15">
        <v>80.0</v>
      </c>
      <c r="E44" s="15">
        <v>1.0</v>
      </c>
    </row>
    <row r="45" ht="14.25" customHeight="1">
      <c r="D45" s="15">
        <v>87.0</v>
      </c>
      <c r="E45" s="15">
        <v>1.0</v>
      </c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K16"/>
  </mergeCells>
  <printOptions/>
  <pageMargins bottom="0.75" footer="0.0" header="0.0" left="0.7" right="0.7" top="0.75"/>
  <pageSetup orientation="landscape"/>
  <drawing r:id="rId1"/>
</worksheet>
</file>
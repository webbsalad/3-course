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  <sheet name="Лист2" sheetId="2" r:id="rId2"/>
  </sheets>
  <definedNames>
    <definedName name="_xlchart.0" hidden="1">Лист1!$T$22</definedName>
    <definedName name="_xlchart.1" hidden="1">Лист1!$T$23</definedName>
    <definedName name="_xlchart.10" hidden="1">Лист1!$U$23:$AE$23</definedName>
    <definedName name="_xlchart.11" hidden="1">Лист1!$T$22</definedName>
    <definedName name="_xlchart.12" hidden="1">Лист1!$T$23</definedName>
    <definedName name="_xlchart.13" hidden="1">Лист1!$U$22:$AE$22</definedName>
    <definedName name="_xlchart.14" hidden="1">Лист1!$U$23:$AE$23</definedName>
    <definedName name="_xlchart.2" hidden="1">Лист1!$U$22:$AE$22</definedName>
    <definedName name="_xlchart.3" hidden="1">Лист1!$U$23:$AE$23</definedName>
    <definedName name="_xlchart.4" hidden="1">Лист1!$Q$27</definedName>
    <definedName name="_xlchart.5" hidden="1">Лист1!$Q$28:$Q$38</definedName>
    <definedName name="_xlchart.6" hidden="1">Лист1!$R$27</definedName>
    <definedName name="_xlchart.7" hidden="1">Лист1!$R$28:$R$38</definedName>
    <definedName name="_xlchart.8" hidden="1">Лист1!$T$23</definedName>
    <definedName name="_xlchart.9" hidden="1">Лист1!$U$22:$AE$22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8" i="1" l="1"/>
  <c r="R37" i="1"/>
  <c r="R36" i="1"/>
  <c r="R35" i="1"/>
  <c r="R34" i="1"/>
  <c r="R33" i="1"/>
  <c r="R32" i="1"/>
  <c r="R31" i="1"/>
  <c r="R30" i="1"/>
  <c r="R29" i="1"/>
  <c r="R28" i="1"/>
  <c r="H22" i="1"/>
  <c r="I22" i="1"/>
  <c r="J22" i="1"/>
  <c r="K22" i="1"/>
  <c r="L22" i="1"/>
  <c r="M22" i="1"/>
  <c r="N22" i="1"/>
  <c r="O22" i="1"/>
  <c r="P22" i="1"/>
  <c r="Q22" i="1"/>
  <c r="R22" i="1"/>
  <c r="P20" i="1"/>
  <c r="Q20" i="1"/>
  <c r="R20" i="1"/>
  <c r="S20" i="1"/>
  <c r="T20" i="1"/>
  <c r="U20" i="1"/>
  <c r="V20" i="1"/>
  <c r="W20" i="1"/>
  <c r="X20" i="1"/>
  <c r="Y20" i="1"/>
  <c r="O20" i="1"/>
  <c r="J39" i="1" l="1"/>
  <c r="H39" i="1"/>
  <c r="A36" i="1"/>
  <c r="O24" i="1" s="1"/>
  <c r="O25" i="1" s="1"/>
  <c r="G41" i="1" l="1"/>
  <c r="G42" i="1" s="1"/>
  <c r="G43" i="1" s="1"/>
  <c r="J41" i="1"/>
  <c r="J42" i="1" s="1"/>
  <c r="J43" i="1" s="1"/>
  <c r="I41" i="1"/>
  <c r="I42" i="1" s="1"/>
  <c r="I43" i="1" s="1"/>
  <c r="H41" i="1"/>
  <c r="H42" i="1" s="1"/>
  <c r="H43" i="1" s="1"/>
  <c r="F41" i="1"/>
  <c r="F42" i="1" s="1"/>
  <c r="F43" i="1" s="1"/>
  <c r="B41" i="1"/>
  <c r="B42" i="1" s="1"/>
  <c r="B43" i="1" s="1"/>
  <c r="E41" i="1"/>
  <c r="E42" i="1" s="1"/>
  <c r="E43" i="1" s="1"/>
  <c r="L41" i="1"/>
  <c r="L42" i="1" s="1"/>
  <c r="L43" i="1" s="1"/>
  <c r="D41" i="1"/>
  <c r="D42" i="1" s="1"/>
  <c r="D43" i="1" s="1"/>
  <c r="K41" i="1"/>
  <c r="K42" i="1" s="1"/>
  <c r="K43" i="1" s="1"/>
  <c r="C41" i="1"/>
  <c r="C42" i="1" s="1"/>
  <c r="C43" i="1" s="1"/>
  <c r="N24" i="1"/>
  <c r="N25" i="1" s="1"/>
  <c r="M24" i="1"/>
  <c r="M25" i="1" s="1"/>
  <c r="L24" i="1"/>
  <c r="L25" i="1" s="1"/>
  <c r="H24" i="1"/>
  <c r="H25" i="1" s="1"/>
  <c r="K24" i="1"/>
  <c r="K25" i="1" s="1"/>
  <c r="R24" i="1"/>
  <c r="R25" i="1" s="1"/>
  <c r="J24" i="1"/>
  <c r="J25" i="1" s="1"/>
  <c r="Q24" i="1"/>
  <c r="Q25" i="1" s="1"/>
  <c r="I24" i="1"/>
  <c r="I25" i="1" s="1"/>
  <c r="P24" i="1"/>
  <c r="P25" i="1" s="1"/>
  <c r="B44" i="1" l="1"/>
  <c r="E36" i="1"/>
  <c r="I36" i="1" s="1"/>
  <c r="M36" i="1" l="1"/>
  <c r="A39" i="1"/>
  <c r="E39" i="1"/>
</calcChain>
</file>

<file path=xl/sharedStrings.xml><?xml version="1.0" encoding="utf-8"?>
<sst xmlns="http://schemas.openxmlformats.org/spreadsheetml/2006/main" count="28" uniqueCount="26">
  <si>
    <t>xi</t>
  </si>
  <si>
    <t>mi</t>
  </si>
  <si>
    <t>max</t>
  </si>
  <si>
    <t>min</t>
  </si>
  <si>
    <t>xi*mi</t>
  </si>
  <si>
    <t>(xi - x)²</t>
  </si>
  <si>
    <t xml:space="preserve">n </t>
  </si>
  <si>
    <t>(xi - x)² * mi</t>
  </si>
  <si>
    <t>Cреднее значение признака</t>
  </si>
  <si>
    <t>Дисперсия</t>
  </si>
  <si>
    <t xml:space="preserve">Среднее квадратическое отклонение </t>
  </si>
  <si>
    <t>n = 25</t>
  </si>
  <si>
    <t>Коэффициент вариации</t>
  </si>
  <si>
    <t>Ассиметрия распределения</t>
  </si>
  <si>
    <t>Эксцесс</t>
  </si>
  <si>
    <t>М0</t>
  </si>
  <si>
    <t>xi - x¯</t>
  </si>
  <si>
    <t>(xi-x¯)^4</t>
  </si>
  <si>
    <t>(xi-x¯)^4 * mi</t>
  </si>
  <si>
    <t>μ4</t>
  </si>
  <si>
    <t>Ме</t>
  </si>
  <si>
    <t>Частоты, mi</t>
  </si>
  <si>
    <t>Варианты, xi</t>
  </si>
  <si>
    <t>wi</t>
  </si>
  <si>
    <t>mx</t>
  </si>
  <si>
    <t>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</si>
</sst>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9" fontId="0" fillId="0" borderId="0" xfId="1" applyFont="1"/>
    <xf numFmtId="0" fontId="3" fillId="2" borderId="1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Лист1!$E$22</c:f>
              <c:strCache>
                <c:ptCount val="1"/>
                <c:pt idx="0">
                  <c:v>mi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Лист1!$D$23:$D$33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90</c:v>
                </c:pt>
              </c:numCache>
            </c:numRef>
          </c:xVal>
          <c:yVal>
            <c:numRef>
              <c:f>Лист1!$E$23:$E$33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C-4153-B0A5-5129A05D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687080"/>
        <c:axId val="461687408"/>
      </c:scatterChart>
      <c:valAx>
        <c:axId val="46168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87408"/>
        <c:crosses val="autoZero"/>
        <c:crossBetween val="midCat"/>
      </c:valAx>
      <c:valAx>
        <c:axId val="4616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mi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8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Кумулянта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Лист1!$T$23</c:f>
              <c:strCache>
                <c:ptCount val="1"/>
                <c:pt idx="0">
                  <c:v>mx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Лист1!$U$22:$AE$22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90</c:v>
                </c:pt>
              </c:numCache>
            </c:numRef>
          </c:cat>
          <c:val>
            <c:numRef>
              <c:f>Лист1!$U$23:$AE$23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12</c:v>
                </c:pt>
                <c:pt idx="4">
                  <c:v>15</c:v>
                </c:pt>
                <c:pt idx="5">
                  <c:v>17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8-4106-B57D-16072274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588928"/>
        <c:axId val="461611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Лист1!$T$22</c15:sqref>
                        </c15:formulaRef>
                      </c:ext>
                    </c:extLst>
                    <c:strCache>
                      <c:ptCount val="1"/>
                      <c:pt idx="0">
                        <c:v>xi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Лист1!$U$22:$AE$22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</c:v>
                      </c:pt>
                      <c:pt idx="1">
                        <c:v>35</c:v>
                      </c:pt>
                      <c:pt idx="2">
                        <c:v>40</c:v>
                      </c:pt>
                      <c:pt idx="3">
                        <c:v>45</c:v>
                      </c:pt>
                      <c:pt idx="4">
                        <c:v>50</c:v>
                      </c:pt>
                      <c:pt idx="5">
                        <c:v>55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75</c:v>
                      </c:pt>
                      <c:pt idx="9">
                        <c:v>80</c:v>
                      </c:pt>
                      <c:pt idx="10">
                        <c:v>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Лист1!$U$22:$AE$22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</c:v>
                      </c:pt>
                      <c:pt idx="1">
                        <c:v>35</c:v>
                      </c:pt>
                      <c:pt idx="2">
                        <c:v>40</c:v>
                      </c:pt>
                      <c:pt idx="3">
                        <c:v>45</c:v>
                      </c:pt>
                      <c:pt idx="4">
                        <c:v>50</c:v>
                      </c:pt>
                      <c:pt idx="5">
                        <c:v>55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75</c:v>
                      </c:pt>
                      <c:pt idx="9">
                        <c:v>80</c:v>
                      </c:pt>
                      <c:pt idx="10">
                        <c:v>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538-4106-B57D-160722748AE0}"/>
                  </c:ext>
                </c:extLst>
              </c15:ser>
            </c15:filteredLineSeries>
          </c:ext>
        </c:extLst>
      </c:lineChart>
      <c:catAx>
        <c:axId val="45858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11576"/>
        <c:crosses val="autoZero"/>
        <c:auto val="1"/>
        <c:lblAlgn val="ctr"/>
        <c:lblOffset val="100"/>
        <c:noMultiLvlLbl val="0"/>
      </c:catAx>
      <c:valAx>
        <c:axId val="46161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mx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58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Эмпирическа</a:t>
            </a:r>
            <a:r>
              <a:rPr lang="ru-RU" baseline="0"/>
              <a:t>я функция рапсределения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Лист1!$R$27</c:f>
              <c:strCache>
                <c:ptCount val="1"/>
                <c:pt idx="0">
                  <c:v>wx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Лист1!$Q$28:$Q$38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90</c:v>
                </c:pt>
              </c:numCache>
            </c:numRef>
          </c:cat>
          <c:val>
            <c:numRef>
              <c:f>Лист1!$R$28:$R$38</c:f>
              <c:numCache>
                <c:formatCode>General</c:formatCode>
                <c:ptCount val="11"/>
                <c:pt idx="0">
                  <c:v>0.12</c:v>
                </c:pt>
                <c:pt idx="1">
                  <c:v>0.16</c:v>
                </c:pt>
                <c:pt idx="2">
                  <c:v>0.28000000000000003</c:v>
                </c:pt>
                <c:pt idx="3">
                  <c:v>0.48</c:v>
                </c:pt>
                <c:pt idx="4">
                  <c:v>0.6</c:v>
                </c:pt>
                <c:pt idx="5">
                  <c:v>0.68</c:v>
                </c:pt>
                <c:pt idx="6">
                  <c:v>0.8</c:v>
                </c:pt>
                <c:pt idx="7">
                  <c:v>0.84</c:v>
                </c:pt>
                <c:pt idx="8">
                  <c:v>0.88</c:v>
                </c:pt>
                <c:pt idx="9">
                  <c:v>0.92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4-43B6-94D4-2DC66DF10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064888"/>
        <c:axId val="492061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Лист1!$Q$27</c15:sqref>
                        </c15:formulaRef>
                      </c:ext>
                    </c:extLst>
                    <c:strCache>
                      <c:ptCount val="1"/>
                      <c:pt idx="0">
                        <c:v>xi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Лист1!$Q$28:$Q$38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</c:v>
                      </c:pt>
                      <c:pt idx="1">
                        <c:v>35</c:v>
                      </c:pt>
                      <c:pt idx="2">
                        <c:v>40</c:v>
                      </c:pt>
                      <c:pt idx="3">
                        <c:v>45</c:v>
                      </c:pt>
                      <c:pt idx="4">
                        <c:v>50</c:v>
                      </c:pt>
                      <c:pt idx="5">
                        <c:v>55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75</c:v>
                      </c:pt>
                      <c:pt idx="9">
                        <c:v>80</c:v>
                      </c:pt>
                      <c:pt idx="10">
                        <c:v>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Лист1!$Q$28:$Q$38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</c:v>
                      </c:pt>
                      <c:pt idx="1">
                        <c:v>35</c:v>
                      </c:pt>
                      <c:pt idx="2">
                        <c:v>40</c:v>
                      </c:pt>
                      <c:pt idx="3">
                        <c:v>45</c:v>
                      </c:pt>
                      <c:pt idx="4">
                        <c:v>50</c:v>
                      </c:pt>
                      <c:pt idx="5">
                        <c:v>55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75</c:v>
                      </c:pt>
                      <c:pt idx="9">
                        <c:v>80</c:v>
                      </c:pt>
                      <c:pt idx="10">
                        <c:v>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C4-43B6-94D4-2DC66DF10524}"/>
                  </c:ext>
                </c:extLst>
              </c15:ser>
            </c15:filteredLineSeries>
          </c:ext>
        </c:extLst>
      </c:lineChart>
      <c:catAx>
        <c:axId val="492064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061936"/>
        <c:crosses val="autoZero"/>
        <c:auto val="1"/>
        <c:lblAlgn val="ctr"/>
        <c:lblOffset val="100"/>
        <c:noMultiLvlLbl val="0"/>
      </c:catAx>
      <c:valAx>
        <c:axId val="4920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wx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06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157674</xdr:colOff>
      <xdr:row>14</xdr:row>
      <xdr:rowOff>171450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53774" cy="2749550"/>
        </a:xfrm>
        <a:prstGeom prst="rect">
          <a:avLst/>
        </a:prstGeom>
      </xdr:spPr>
    </xdr:pic>
    <xdr:clientData/>
  </xdr:twoCellAnchor>
  <xdr:twoCellAnchor>
    <xdr:from>
      <xdr:col>12</xdr:col>
      <xdr:colOff>34925</xdr:colOff>
      <xdr:row>0</xdr:row>
      <xdr:rowOff>165100</xdr:rowOff>
    </xdr:from>
    <xdr:to>
      <xdr:col>18</xdr:col>
      <xdr:colOff>431800</xdr:colOff>
      <xdr:row>13</xdr:row>
      <xdr:rowOff>69850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225425</xdr:colOff>
      <xdr:row>0</xdr:row>
      <xdr:rowOff>139700</xdr:rowOff>
    </xdr:from>
    <xdr:to>
      <xdr:col>27</xdr:col>
      <xdr:colOff>107950</xdr:colOff>
      <xdr:row>13</xdr:row>
      <xdr:rowOff>146050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22777</xdr:colOff>
      <xdr:row>0</xdr:row>
      <xdr:rowOff>160683</xdr:rowOff>
    </xdr:from>
    <xdr:to>
      <xdr:col>35</xdr:col>
      <xdr:colOff>343037</xdr:colOff>
      <xdr:row>15</xdr:row>
      <xdr:rowOff>108503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AE44"/>
  <sheetViews>
    <sheetView tabSelected="1" zoomScale="47" zoomScaleNormal="70" workbookViewId="0">
      <selection activeCell="AR15" sqref="AR15"/>
    </sheetView>
  </sheetViews>
  <sheetFormatPr defaultRowHeight="14.5" x14ac:dyDescent="0.35"/>
  <cols>
    <col min="1" max="1" width="11.453125" customWidth="1"/>
  </cols>
  <sheetData>
    <row r="17" spans="1:31" x14ac:dyDescent="0.35">
      <c r="A17">
        <v>30</v>
      </c>
      <c r="B17">
        <v>45</v>
      </c>
      <c r="C17">
        <v>50</v>
      </c>
      <c r="D17">
        <v>30</v>
      </c>
      <c r="E17">
        <v>35</v>
      </c>
      <c r="F17">
        <v>45</v>
      </c>
      <c r="G17">
        <v>40</v>
      </c>
      <c r="H17">
        <v>60</v>
      </c>
      <c r="I17">
        <v>80</v>
      </c>
      <c r="J17">
        <v>45</v>
      </c>
      <c r="K17">
        <v>90</v>
      </c>
      <c r="L17">
        <v>50</v>
      </c>
      <c r="M17">
        <v>30</v>
      </c>
      <c r="N17">
        <v>45</v>
      </c>
      <c r="O17">
        <v>40</v>
      </c>
      <c r="P17">
        <v>50</v>
      </c>
      <c r="Q17">
        <v>70</v>
      </c>
      <c r="R17">
        <v>55</v>
      </c>
      <c r="S17">
        <v>40</v>
      </c>
      <c r="T17">
        <v>45</v>
      </c>
      <c r="U17">
        <v>55</v>
      </c>
      <c r="V17">
        <v>60</v>
      </c>
      <c r="W17">
        <v>75</v>
      </c>
      <c r="X17">
        <v>90</v>
      </c>
      <c r="Y17">
        <v>60</v>
      </c>
    </row>
    <row r="19" spans="1:31" x14ac:dyDescent="0.35">
      <c r="A19" s="2" t="s">
        <v>22</v>
      </c>
      <c r="B19">
        <v>30</v>
      </c>
      <c r="C19">
        <v>35</v>
      </c>
      <c r="D19">
        <v>40</v>
      </c>
      <c r="E19">
        <v>45</v>
      </c>
      <c r="F19">
        <v>50</v>
      </c>
      <c r="G19">
        <v>55</v>
      </c>
      <c r="H19">
        <v>60</v>
      </c>
      <c r="I19">
        <v>70</v>
      </c>
      <c r="J19">
        <v>75</v>
      </c>
      <c r="K19">
        <v>80</v>
      </c>
      <c r="L19">
        <v>90</v>
      </c>
    </row>
    <row r="20" spans="1:31" x14ac:dyDescent="0.35">
      <c r="A20" s="2" t="s">
        <v>21</v>
      </c>
      <c r="B20">
        <v>3</v>
      </c>
      <c r="C20">
        <v>1</v>
      </c>
      <c r="D20">
        <v>3</v>
      </c>
      <c r="E20">
        <v>5</v>
      </c>
      <c r="F20">
        <v>3</v>
      </c>
      <c r="G20">
        <v>2</v>
      </c>
      <c r="H20">
        <v>3</v>
      </c>
      <c r="I20">
        <v>1</v>
      </c>
      <c r="J20">
        <v>1</v>
      </c>
      <c r="K20">
        <v>1</v>
      </c>
      <c r="L20">
        <v>2</v>
      </c>
      <c r="N20" s="2" t="s">
        <v>23</v>
      </c>
      <c r="O20">
        <f>B20/$A$26</f>
        <v>0.12</v>
      </c>
      <c r="P20">
        <f>C20/$A$26</f>
        <v>0.04</v>
      </c>
      <c r="Q20">
        <f>D20/$A$26</f>
        <v>0.12</v>
      </c>
      <c r="R20">
        <f>E20/$A$26</f>
        <v>0.2</v>
      </c>
      <c r="S20">
        <f>F20/$A$26</f>
        <v>0.12</v>
      </c>
      <c r="T20">
        <f>G20/$A$26</f>
        <v>0.08</v>
      </c>
      <c r="U20">
        <f>H20/$A$26</f>
        <v>0.12</v>
      </c>
      <c r="V20">
        <f>I20/$A$26</f>
        <v>0.04</v>
      </c>
      <c r="W20">
        <f>J20/$A$26</f>
        <v>0.04</v>
      </c>
      <c r="X20">
        <f>K20/$A$26</f>
        <v>0.04</v>
      </c>
      <c r="Y20">
        <f>L20/$A$26</f>
        <v>0.08</v>
      </c>
    </row>
    <row r="22" spans="1:31" x14ac:dyDescent="0.35">
      <c r="A22" s="2" t="s">
        <v>2</v>
      </c>
      <c r="B22" s="2" t="s">
        <v>3</v>
      </c>
      <c r="D22" s="1" t="s">
        <v>0</v>
      </c>
      <c r="E22" s="1" t="s">
        <v>1</v>
      </c>
      <c r="G22" s="2" t="s">
        <v>4</v>
      </c>
      <c r="H22">
        <f>B19*B20</f>
        <v>90</v>
      </c>
      <c r="I22">
        <f t="shared" ref="I22:R22" si="0">C19*C20</f>
        <v>35</v>
      </c>
      <c r="J22">
        <f t="shared" si="0"/>
        <v>120</v>
      </c>
      <c r="K22">
        <f t="shared" si="0"/>
        <v>225</v>
      </c>
      <c r="L22">
        <f t="shared" si="0"/>
        <v>150</v>
      </c>
      <c r="M22">
        <f t="shared" si="0"/>
        <v>110</v>
      </c>
      <c r="N22">
        <f t="shared" si="0"/>
        <v>180</v>
      </c>
      <c r="O22">
        <f t="shared" si="0"/>
        <v>70</v>
      </c>
      <c r="P22">
        <f t="shared" si="0"/>
        <v>75</v>
      </c>
      <c r="Q22">
        <f t="shared" si="0"/>
        <v>80</v>
      </c>
      <c r="R22">
        <f t="shared" si="0"/>
        <v>180</v>
      </c>
      <c r="T22" s="2" t="s">
        <v>0</v>
      </c>
      <c r="U22">
        <v>30</v>
      </c>
      <c r="V22">
        <v>35</v>
      </c>
      <c r="W22">
        <v>40</v>
      </c>
      <c r="X22">
        <v>45</v>
      </c>
      <c r="Y22">
        <v>50</v>
      </c>
      <c r="Z22">
        <v>55</v>
      </c>
      <c r="AA22">
        <v>60</v>
      </c>
      <c r="AB22">
        <v>70</v>
      </c>
      <c r="AC22">
        <v>75</v>
      </c>
      <c r="AD22">
        <v>80</v>
      </c>
      <c r="AE22">
        <v>90</v>
      </c>
    </row>
    <row r="23" spans="1:31" x14ac:dyDescent="0.35">
      <c r="A23">
        <v>90</v>
      </c>
      <c r="B23">
        <v>30</v>
      </c>
      <c r="D23">
        <v>30</v>
      </c>
      <c r="E23">
        <v>3</v>
      </c>
      <c r="T23" s="2" t="s">
        <v>24</v>
      </c>
      <c r="U23">
        <v>3</v>
      </c>
      <c r="V23">
        <v>4</v>
      </c>
      <c r="W23">
        <v>7</v>
      </c>
      <c r="X23">
        <v>12</v>
      </c>
      <c r="Y23">
        <v>15</v>
      </c>
      <c r="Z23">
        <v>17</v>
      </c>
      <c r="AA23">
        <v>20</v>
      </c>
      <c r="AB23">
        <v>21</v>
      </c>
      <c r="AC23">
        <v>22</v>
      </c>
      <c r="AD23">
        <v>23</v>
      </c>
      <c r="AE23">
        <v>25</v>
      </c>
    </row>
    <row r="24" spans="1:31" x14ac:dyDescent="0.35">
      <c r="D24">
        <v>35</v>
      </c>
      <c r="E24">
        <v>1</v>
      </c>
      <c r="G24" s="2" t="s">
        <v>5</v>
      </c>
      <c r="H24">
        <f>POWER(B19-$A$36,2)</f>
        <v>510.76000000000005</v>
      </c>
      <c r="I24">
        <f>POWER(C19-$A$36,2)</f>
        <v>309.76000000000005</v>
      </c>
      <c r="J24">
        <f>POWER(D19-$A$36,2)</f>
        <v>158.76000000000005</v>
      </c>
      <c r="K24">
        <f>POWER(E19-$A$36,2)</f>
        <v>57.760000000000019</v>
      </c>
      <c r="L24">
        <f>POWER(F19-$A$36,2)</f>
        <v>6.7600000000000078</v>
      </c>
      <c r="M24">
        <f>POWER(G19-$A$36,2)</f>
        <v>5.7599999999999936</v>
      </c>
      <c r="N24">
        <f>POWER(H19-$A$36,2)</f>
        <v>54.759999999999977</v>
      </c>
      <c r="O24">
        <f>POWER(I19-$A$36,2)</f>
        <v>302.75999999999993</v>
      </c>
      <c r="P24">
        <f>POWER(J19-$A$36,2)</f>
        <v>501.75999999999993</v>
      </c>
      <c r="Q24">
        <f>POWER(K19-$A$36,2)</f>
        <v>750.75999999999988</v>
      </c>
      <c r="R24">
        <f>POWER(L19-$A$36,2)</f>
        <v>1398.76</v>
      </c>
    </row>
    <row r="25" spans="1:31" x14ac:dyDescent="0.35">
      <c r="A25" s="2" t="s">
        <v>6</v>
      </c>
      <c r="D25">
        <v>40</v>
      </c>
      <c r="E25">
        <v>3</v>
      </c>
      <c r="G25" s="3" t="s">
        <v>7</v>
      </c>
      <c r="H25">
        <f>H24*B20</f>
        <v>1532.2800000000002</v>
      </c>
      <c r="I25">
        <f>I24*C20</f>
        <v>309.76000000000005</v>
      </c>
      <c r="J25">
        <f>J24*D20</f>
        <v>476.28000000000014</v>
      </c>
      <c r="K25">
        <f>K24*E20</f>
        <v>288.80000000000007</v>
      </c>
      <c r="L25">
        <f>L24*F20</f>
        <v>20.280000000000022</v>
      </c>
      <c r="M25">
        <f>M24*G20</f>
        <v>11.519999999999987</v>
      </c>
      <c r="N25">
        <f>N24*H20</f>
        <v>164.27999999999992</v>
      </c>
      <c r="O25">
        <f>O24*I20</f>
        <v>302.75999999999993</v>
      </c>
      <c r="P25">
        <f>P24*J20</f>
        <v>501.75999999999993</v>
      </c>
      <c r="Q25">
        <f>Q24*K20</f>
        <v>750.75999999999988</v>
      </c>
      <c r="R25">
        <f>R24*L20</f>
        <v>2797.52</v>
      </c>
    </row>
    <row r="26" spans="1:31" x14ac:dyDescent="0.35">
      <c r="A26">
        <v>25</v>
      </c>
      <c r="D26">
        <v>45</v>
      </c>
      <c r="E26">
        <v>5</v>
      </c>
    </row>
    <row r="27" spans="1:31" x14ac:dyDescent="0.35">
      <c r="D27">
        <v>50</v>
      </c>
      <c r="E27">
        <v>3</v>
      </c>
      <c r="Q27" s="2" t="s">
        <v>0</v>
      </c>
      <c r="R27" s="2" t="s">
        <v>25</v>
      </c>
    </row>
    <row r="28" spans="1:31" x14ac:dyDescent="0.35">
      <c r="D28">
        <v>55</v>
      </c>
      <c r="E28">
        <v>2</v>
      </c>
      <c r="Q28">
        <v>30</v>
      </c>
      <c r="R28">
        <f>U23/$A$26</f>
        <v>0.12</v>
      </c>
    </row>
    <row r="29" spans="1:31" x14ac:dyDescent="0.35">
      <c r="D29">
        <v>60</v>
      </c>
      <c r="E29">
        <v>3</v>
      </c>
      <c r="Q29">
        <v>35</v>
      </c>
      <c r="R29">
        <f>V23/$A$26</f>
        <v>0.16</v>
      </c>
    </row>
    <row r="30" spans="1:31" x14ac:dyDescent="0.35">
      <c r="D30">
        <v>70</v>
      </c>
      <c r="E30">
        <v>1</v>
      </c>
      <c r="Q30">
        <v>40</v>
      </c>
      <c r="R30">
        <f>W23/$A$26</f>
        <v>0.28000000000000003</v>
      </c>
    </row>
    <row r="31" spans="1:31" x14ac:dyDescent="0.35">
      <c r="D31">
        <v>75</v>
      </c>
      <c r="E31">
        <v>1</v>
      </c>
      <c r="Q31">
        <v>45</v>
      </c>
      <c r="R31">
        <f>X23/$A$26</f>
        <v>0.48</v>
      </c>
    </row>
    <row r="32" spans="1:31" x14ac:dyDescent="0.35">
      <c r="D32">
        <v>80</v>
      </c>
      <c r="E32">
        <v>1</v>
      </c>
      <c r="Q32">
        <v>50</v>
      </c>
      <c r="R32">
        <f>Y23/$A$26</f>
        <v>0.6</v>
      </c>
    </row>
    <row r="33" spans="1:18" x14ac:dyDescent="0.35">
      <c r="D33">
        <v>90</v>
      </c>
      <c r="E33">
        <v>2</v>
      </c>
      <c r="Q33">
        <v>55</v>
      </c>
      <c r="R33">
        <f>Z23/$A$26</f>
        <v>0.68</v>
      </c>
    </row>
    <row r="34" spans="1:18" x14ac:dyDescent="0.35">
      <c r="Q34">
        <v>60</v>
      </c>
      <c r="R34">
        <f>AA23/$A$26</f>
        <v>0.8</v>
      </c>
    </row>
    <row r="35" spans="1:18" x14ac:dyDescent="0.35">
      <c r="A35" s="2" t="s">
        <v>8</v>
      </c>
      <c r="B35" s="2"/>
      <c r="C35" s="2"/>
      <c r="E35" s="4" t="s">
        <v>9</v>
      </c>
      <c r="F35" s="4"/>
      <c r="H35" s="4" t="s">
        <v>10</v>
      </c>
      <c r="I35" s="4"/>
      <c r="J35" s="4"/>
      <c r="K35" s="4"/>
      <c r="M35" s="4" t="s">
        <v>12</v>
      </c>
      <c r="N35" s="4"/>
      <c r="O35" s="4"/>
      <c r="Q35">
        <v>70</v>
      </c>
      <c r="R35">
        <f>AB23/$A$26</f>
        <v>0.84</v>
      </c>
    </row>
    <row r="36" spans="1:18" x14ac:dyDescent="0.35">
      <c r="A36">
        <f>(1/A26) * SUM(H22:R22)</f>
        <v>52.6</v>
      </c>
      <c r="E36">
        <f>SUM(H25:R25)/A26</f>
        <v>286.24</v>
      </c>
      <c r="H36" t="s">
        <v>11</v>
      </c>
      <c r="I36">
        <f>SQRT(E36)</f>
        <v>16.918628786045282</v>
      </c>
      <c r="M36" s="5">
        <f>I36/A36</f>
        <v>0.32164693509591791</v>
      </c>
      <c r="Q36">
        <v>75</v>
      </c>
      <c r="R36">
        <f>AC23/$A$26</f>
        <v>0.88</v>
      </c>
    </row>
    <row r="37" spans="1:18" x14ac:dyDescent="0.35">
      <c r="Q37">
        <v>80</v>
      </c>
      <c r="R37">
        <f>AD23/$A$26</f>
        <v>0.92</v>
      </c>
    </row>
    <row r="38" spans="1:18" x14ac:dyDescent="0.35">
      <c r="A38" s="4" t="s">
        <v>13</v>
      </c>
      <c r="B38" s="4"/>
      <c r="C38" s="4"/>
      <c r="E38" s="2" t="s">
        <v>14</v>
      </c>
      <c r="H38" s="2" t="s">
        <v>15</v>
      </c>
      <c r="J38" s="2" t="s">
        <v>20</v>
      </c>
      <c r="Q38">
        <v>90</v>
      </c>
      <c r="R38">
        <f>AE23/$A$26</f>
        <v>1</v>
      </c>
    </row>
    <row r="39" spans="1:18" x14ac:dyDescent="0.35">
      <c r="A39">
        <f>(A36-H39)/I36</f>
        <v>0.449208981183427</v>
      </c>
      <c r="E39">
        <f>(B44/(POWER(I36,4)))-3</f>
        <v>-0.16833228090051788</v>
      </c>
      <c r="H39">
        <f>MODE(A17:Y17)</f>
        <v>45</v>
      </c>
      <c r="J39">
        <f>MEDIAN(B19:L19)</f>
        <v>55</v>
      </c>
    </row>
    <row r="41" spans="1:18" x14ac:dyDescent="0.35">
      <c r="A41" s="2" t="s">
        <v>16</v>
      </c>
      <c r="B41">
        <f>B19-$A$36</f>
        <v>-22.6</v>
      </c>
      <c r="C41">
        <f>C19-$A$36</f>
        <v>-17.600000000000001</v>
      </c>
      <c r="D41">
        <f>D19-$A$36</f>
        <v>-12.600000000000001</v>
      </c>
      <c r="E41">
        <f>E19-$A$36</f>
        <v>-7.6000000000000014</v>
      </c>
      <c r="F41">
        <f>F19-$A$36</f>
        <v>-2.6000000000000014</v>
      </c>
      <c r="G41">
        <f>G19-$A$36</f>
        <v>2.3999999999999986</v>
      </c>
      <c r="H41">
        <f>H19-$A$36</f>
        <v>7.3999999999999986</v>
      </c>
      <c r="I41">
        <f>I19-$A$36</f>
        <v>17.399999999999999</v>
      </c>
      <c r="J41">
        <f>J19-$A$36</f>
        <v>22.4</v>
      </c>
      <c r="K41">
        <f>K19-$A$36</f>
        <v>27.4</v>
      </c>
      <c r="L41">
        <f>L19-$A$36</f>
        <v>37.4</v>
      </c>
    </row>
    <row r="42" spans="1:18" x14ac:dyDescent="0.35">
      <c r="A42" s="2" t="s">
        <v>17</v>
      </c>
      <c r="B42">
        <f>POWER(B41,4)</f>
        <v>260875.77760000006</v>
      </c>
      <c r="C42">
        <f t="shared" ref="C42:L42" si="1">POWER(C41,4)</f>
        <v>95951.257600000026</v>
      </c>
      <c r="D42">
        <f t="shared" si="1"/>
        <v>25204.737600000015</v>
      </c>
      <c r="E42">
        <f t="shared" si="1"/>
        <v>3336.2176000000022</v>
      </c>
      <c r="F42">
        <f t="shared" si="1"/>
        <v>45.697600000000108</v>
      </c>
      <c r="G42">
        <f t="shared" si="1"/>
        <v>33.177599999999927</v>
      </c>
      <c r="H42">
        <f t="shared" si="1"/>
        <v>2998.6575999999973</v>
      </c>
      <c r="I42">
        <f t="shared" si="1"/>
        <v>91663.617599999954</v>
      </c>
      <c r="J42">
        <f t="shared" si="1"/>
        <v>251763.09759999992</v>
      </c>
      <c r="K42">
        <f t="shared" si="1"/>
        <v>563640.57759999984</v>
      </c>
      <c r="L42">
        <f t="shared" si="1"/>
        <v>1956529.5375999999</v>
      </c>
    </row>
    <row r="43" spans="1:18" x14ac:dyDescent="0.35">
      <c r="A43" s="6" t="s">
        <v>18</v>
      </c>
      <c r="B43">
        <f>B42*B20</f>
        <v>782627.33280000021</v>
      </c>
      <c r="C43">
        <f>C42*C20</f>
        <v>95951.257600000026</v>
      </c>
      <c r="D43">
        <f>D42*D20</f>
        <v>75614.212800000038</v>
      </c>
      <c r="E43">
        <f>E42*E20</f>
        <v>16681.088000000011</v>
      </c>
      <c r="F43">
        <f>F42*F20</f>
        <v>137.09280000000032</v>
      </c>
      <c r="G43">
        <f>G42*G20</f>
        <v>66.355199999999854</v>
      </c>
      <c r="H43">
        <f>H42*H20</f>
        <v>8995.9727999999923</v>
      </c>
      <c r="I43">
        <f>I42*I20</f>
        <v>91663.617599999954</v>
      </c>
      <c r="J43">
        <f>J42*J20</f>
        <v>251763.09759999992</v>
      </c>
      <c r="K43">
        <f>K42*K20</f>
        <v>563640.57759999984</v>
      </c>
      <c r="L43">
        <f>L42*L20</f>
        <v>3913059.0751999998</v>
      </c>
    </row>
    <row r="44" spans="1:18" x14ac:dyDescent="0.35">
      <c r="A44" s="2" t="s">
        <v>19</v>
      </c>
      <c r="B44">
        <f>SUM(B43:L43)/A26</f>
        <v>232007.98719999997</v>
      </c>
    </row>
  </sheetData>
  <mergeCells count="4">
    <mergeCell ref="E35:F35"/>
    <mergeCell ref="H35:K35"/>
    <mergeCell ref="M35:O35"/>
    <mergeCell ref="A38:C3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2023-12-18T22:10:44Z</dcterms:modified>
</cp:coreProperties>
</file>
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<sst xmlns="http://schemas.openxmlformats.org/spreadsheetml/2006/main" count="27" uniqueCount="27">
  <si>
    <t>AS IS</t>
  </si>
  <si>
    <t>усиление маркетинга (+50 тыс Р)</t>
  </si>
  <si>
    <t>большее усиление маркетинга (+450 тыс Р)</t>
  </si>
  <si>
    <t>Доходы</t>
  </si>
  <si>
    <t>Кол-во пациентов в месяц</t>
  </si>
  <si>
    <t>Средняя выручка с пациента</t>
  </si>
  <si>
    <t>Выручка</t>
  </si>
  <si>
    <t>Расходы</t>
  </si>
  <si>
    <t>аренда и коммуналка</t>
  </si>
  <si>
    <t>амортизация и сервис</t>
  </si>
  <si>
    <t>маркетинг</t>
  </si>
  <si>
    <t>ФОТ – тех поддержка(фиксированная)</t>
  </si>
  <si>
    <t>Постоянные рассходы</t>
  </si>
  <si>
    <t>средние расходы на пациента</t>
  </si>
  <si>
    <t xml:space="preserve">зарплата врача за 1 пациента </t>
  </si>
  <si>
    <t xml:space="preserve">зарплата медсестры за 1 пациента </t>
  </si>
  <si>
    <t>ФОТ – врачи</t>
  </si>
  <si>
    <t>ФОТ – медсёстры</t>
  </si>
  <si>
    <t>Переменные рассходы</t>
  </si>
  <si>
    <t>Затраты</t>
  </si>
  <si>
    <t>Результаты</t>
  </si>
  <si>
    <t>Прибыль</t>
  </si>
  <si>
    <t>Выводы</t>
  </si>
  <si>
    <t>Не приемлемый вариант</t>
  </si>
  <si>
    <t>Оптимальный вариант</t>
  </si>
  <si>
    <t>Приемлемый вариант</t>
  </si>
  <si>
    <t>слишком мало пациентов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</si>
</sst>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Times New Roman"/>
    </font>
    <font>
      <b/>
      <sz val="11.0"/>
      <color rgb="FFFFFFFF"/>
      <name val="Calibri"/>
    </font>
    <font>
      <color theme="1"/>
      <name val="Calibri"/>
    </font>
    <font>
      <sz val="10.0"/>
      <color rgb="FF000000"/>
      <name val="Times New Roman"/>
    </font>
    <font>
      <color theme="1"/>
      <name val="Liberation Sans"/>
    </font>
    <font>
      <sz val="11.0"/>
      <color rgb="FF9C6500"/>
      <name val="Calibri"/>
    </font>
    <font>
      <sz val="11.0"/>
      <color rgb="FF9C0006"/>
      <name val="Calibri"/>
    </font>
    <font>
      <sz val="11.0"/>
      <color rgb="FF0061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3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2" fillId="3" fontId="5" numFmtId="0" xfId="0" applyAlignment="1" applyBorder="1" applyFill="1" applyFont="1">
      <alignment vertical="bottom"/>
    </xf>
    <xf borderId="2" fillId="3" fontId="5" numFmtId="0" xfId="0" applyAlignment="1" applyBorder="1" applyFont="1">
      <alignment horizontal="right" vertical="bottom"/>
    </xf>
    <xf borderId="2" fillId="4" fontId="6" numFmtId="0" xfId="0" applyAlignment="1" applyBorder="1" applyFill="1" applyFont="1">
      <alignment vertical="bottom"/>
    </xf>
    <xf borderId="2" fillId="4" fontId="6" numFmtId="0" xfId="0" applyAlignment="1" applyBorder="1" applyFont="1">
      <alignment horizontal="right" vertical="bottom"/>
    </xf>
    <xf borderId="0" fillId="5" fontId="1" numFmtId="0" xfId="0" applyAlignment="1" applyFill="1" applyFont="1">
      <alignment readingOrder="0"/>
    </xf>
    <xf borderId="2" fillId="6" fontId="7" numFmtId="0" xfId="0" applyAlignment="1" applyBorder="1" applyFill="1" applyFont="1">
      <alignment vertical="bottom"/>
    </xf>
    <xf borderId="2" fillId="6" fontId="7" numFmtId="0" xfId="0" applyAlignment="1" applyBorder="1" applyFont="1">
      <alignment horizontal="right" vertical="bottom"/>
    </xf>
    <xf borderId="2" fillId="7" fontId="8" numFmtId="0" xfId="0" applyAlignment="1" applyBorder="1" applyFill="1" applyFont="1">
      <alignment vertical="bottom"/>
    </xf>
    <xf borderId="2" fillId="7" fontId="8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2" fillId="8" fontId="5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5.75"/>
    <col customWidth="1" min="3" max="3" width="28.38"/>
    <col customWidth="1" min="4" max="4" width="34.63"/>
  </cols>
  <sheetData>
    <row r="1">
      <c r="A1" s="1"/>
      <c r="B1" s="1" t="s">
        <v>0</v>
      </c>
      <c r="C1" s="2" t="s">
        <v>1</v>
      </c>
      <c r="D1" s="2" t="s">
        <v>2</v>
      </c>
    </row>
    <row r="2">
      <c r="A2" s="3" t="s">
        <v>3</v>
      </c>
      <c r="B2" s="4"/>
      <c r="C2" s="4"/>
      <c r="D2" s="4"/>
    </row>
    <row r="3">
      <c r="A3" s="5" t="s">
        <v>4</v>
      </c>
      <c r="B3" s="5">
        <v>250.0</v>
      </c>
      <c r="C3" s="5">
        <v>420.0</v>
      </c>
      <c r="D3" s="6">
        <v>440.0</v>
      </c>
    </row>
    <row r="4">
      <c r="A4" s="6" t="s">
        <v>5</v>
      </c>
      <c r="B4" s="6">
        <v>10000.0</v>
      </c>
      <c r="C4" s="6">
        <v>10000.0</v>
      </c>
      <c r="D4" s="6">
        <v>10000.0</v>
      </c>
    </row>
    <row r="5">
      <c r="A5" s="7" t="s">
        <v>6</v>
      </c>
      <c r="B5" s="8">
        <f t="shared" ref="B5:D5" si="1">B4*B3</f>
        <v>2500000</v>
      </c>
      <c r="C5" s="8">
        <f t="shared" si="1"/>
        <v>4200000</v>
      </c>
      <c r="D5" s="8">
        <f t="shared" si="1"/>
        <v>4400000</v>
      </c>
    </row>
    <row r="6">
      <c r="A6" s="3" t="s">
        <v>7</v>
      </c>
      <c r="B6" s="4"/>
      <c r="C6" s="4"/>
      <c r="D6" s="4"/>
    </row>
    <row r="7">
      <c r="A7" s="6" t="s">
        <v>8</v>
      </c>
      <c r="B7" s="6">
        <v>300000.0</v>
      </c>
      <c r="C7" s="6">
        <v>300000.0</v>
      </c>
      <c r="D7" s="6">
        <v>300000.0</v>
      </c>
    </row>
    <row r="8">
      <c r="A8" s="6" t="s">
        <v>9</v>
      </c>
      <c r="B8" s="6">
        <v>100000.0</v>
      </c>
      <c r="C8" s="6">
        <v>100000.0</v>
      </c>
      <c r="D8" s="6">
        <v>100000.0</v>
      </c>
    </row>
    <row r="9">
      <c r="A9" s="6" t="s">
        <v>10</v>
      </c>
      <c r="B9" s="6">
        <v>0.0</v>
      </c>
      <c r="C9" s="6">
        <v>50000.0</v>
      </c>
      <c r="D9" s="6">
        <v>450000.0</v>
      </c>
    </row>
    <row r="10">
      <c r="A10" s="5" t="s">
        <v>11</v>
      </c>
      <c r="B10" s="6">
        <v>75000.0</v>
      </c>
      <c r="C10" s="6">
        <v>75000.0</v>
      </c>
      <c r="D10" s="6">
        <v>75000.0</v>
      </c>
    </row>
    <row r="11">
      <c r="A11" s="9" t="s">
        <v>12</v>
      </c>
      <c r="B11" s="10">
        <f t="shared" ref="B11:D11" si="2">B7+B8+B9+B10</f>
        <v>475000</v>
      </c>
      <c r="C11" s="10">
        <f t="shared" si="2"/>
        <v>525000</v>
      </c>
      <c r="D11" s="10">
        <f t="shared" si="2"/>
        <v>925000</v>
      </c>
    </row>
    <row r="12">
      <c r="A12" s="6" t="s">
        <v>13</v>
      </c>
      <c r="B12" s="6">
        <v>3000.0</v>
      </c>
      <c r="C12" s="6">
        <v>3000.0</v>
      </c>
      <c r="D12" s="6">
        <v>3000.0</v>
      </c>
    </row>
    <row r="13">
      <c r="A13" s="11" t="s">
        <v>14</v>
      </c>
      <c r="B13" s="11">
        <v>2000.0</v>
      </c>
      <c r="C13" s="11">
        <v>2000.0</v>
      </c>
      <c r="D13" s="11">
        <v>2000.0</v>
      </c>
    </row>
    <row r="14">
      <c r="A14" s="11" t="s">
        <v>15</v>
      </c>
      <c r="B14" s="11">
        <v>500.0</v>
      </c>
      <c r="C14" s="11">
        <v>500.0</v>
      </c>
      <c r="D14" s="11">
        <v>500.0</v>
      </c>
    </row>
    <row r="15">
      <c r="A15" s="11" t="s">
        <v>16</v>
      </c>
      <c r="B15" s="11">
        <f t="shared" ref="B15:D15" si="3">B13*B3</f>
        <v>500000</v>
      </c>
      <c r="C15" s="11">
        <f t="shared" si="3"/>
        <v>840000</v>
      </c>
      <c r="D15" s="11">
        <f t="shared" si="3"/>
        <v>880000</v>
      </c>
    </row>
    <row r="16">
      <c r="A16" s="11" t="s">
        <v>17</v>
      </c>
      <c r="B16" s="11">
        <f t="shared" ref="B16:D16" si="4">B14*B3</f>
        <v>125000</v>
      </c>
      <c r="C16" s="11">
        <f t="shared" si="4"/>
        <v>210000</v>
      </c>
      <c r="D16" s="11">
        <f t="shared" si="4"/>
        <v>220000</v>
      </c>
    </row>
    <row r="17">
      <c r="A17" s="9" t="s">
        <v>18</v>
      </c>
      <c r="B17" s="10">
        <f t="shared" ref="B17:D17" si="5">B16+B15</f>
        <v>625000</v>
      </c>
      <c r="C17" s="10">
        <f t="shared" si="5"/>
        <v>1050000</v>
      </c>
      <c r="D17" s="10">
        <f t="shared" si="5"/>
        <v>1100000</v>
      </c>
    </row>
    <row r="18">
      <c r="A18" s="12" t="s">
        <v>19</v>
      </c>
      <c r="B18" s="13">
        <f t="shared" ref="B18:D18" si="6">B11+B17</f>
        <v>1100000</v>
      </c>
      <c r="C18" s="13">
        <f t="shared" si="6"/>
        <v>1575000</v>
      </c>
      <c r="D18" s="13">
        <f t="shared" si="6"/>
        <v>2025000</v>
      </c>
    </row>
    <row r="19">
      <c r="A19" s="3" t="s">
        <v>20</v>
      </c>
      <c r="B19" s="4"/>
      <c r="C19" s="4"/>
      <c r="D19" s="4"/>
    </row>
    <row r="20">
      <c r="A20" s="14" t="s">
        <v>21</v>
      </c>
      <c r="B20" s="15">
        <f t="shared" ref="B20:D20" si="7">B5-B18</f>
        <v>1400000</v>
      </c>
      <c r="C20" s="15">
        <f t="shared" si="7"/>
        <v>2625000</v>
      </c>
      <c r="D20" s="15">
        <f t="shared" si="7"/>
        <v>2375000</v>
      </c>
    </row>
    <row r="21">
      <c r="A21" s="16" t="s">
        <v>22</v>
      </c>
      <c r="B21" s="12" t="s">
        <v>23</v>
      </c>
      <c r="C21" s="17" t="s">
        <v>24</v>
      </c>
      <c r="D21" s="18" t="s">
        <v>25</v>
      </c>
    </row>
    <row r="22">
      <c r="A22" s="19"/>
      <c r="B22" s="20" t="s">
        <v>26</v>
      </c>
      <c r="C22" s="19"/>
      <c r="D22" s="19"/>
    </row>
  </sheetData>
  <drawing r:id="rId1"/>
</worksheet>
</file>